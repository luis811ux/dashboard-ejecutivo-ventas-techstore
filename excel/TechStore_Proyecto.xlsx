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cuments\PROGRAMACION\PROYECTOS_PORTAFOLIO\EXCEL\POWER_QUERY\TechStore_Proyecto_Final\excel\"/>
    </mc:Choice>
  </mc:AlternateContent>
  <xr:revisionPtr revIDLastSave="0" documentId="13_ncr:1_{CD4720FF-CBE6-4883-90E8-4D1104CB1D8D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osto_financiero" sheetId="8" r:id="rId1"/>
    <sheet name="costos_fijos" sheetId="3" r:id="rId2"/>
    <sheet name="Ventas_Consolidadas" sheetId="1" r:id="rId3"/>
    <sheet name="KPI_S" sheetId="2" r:id="rId4"/>
    <sheet name="Dashboard" sheetId="7" r:id="rId5"/>
  </sheets>
  <definedNames>
    <definedName name="DatosExternos_1" localSheetId="2" hidden="1">Ventas_Consolidadas!$A$1:$R$10</definedName>
    <definedName name="DatosExternos_2" localSheetId="0" hidden="1">costo_financiero!$A$1:$B$2</definedName>
    <definedName name="DatosExternos_2" localSheetId="1" hidden="1">'costos_fijos'!$A$1:$C$4</definedName>
    <definedName name="SegmentaciónDeDatos_nombre_producto">#N/A</definedName>
    <definedName name="SegmentaciónDeDatos_nombre_vendedor">#N/A</definedName>
    <definedName name="SegmentaciónDeDatos_region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6" i="3" s="1"/>
  <c r="F3" i="2" s="1"/>
  <c r="N12" i="1"/>
  <c r="N13" i="1" s="1"/>
  <c r="E7" i="7"/>
  <c r="K7" i="7"/>
  <c r="C7" i="7"/>
  <c r="G7" i="7"/>
  <c r="I7" i="7"/>
  <c r="G3" i="2" l="1"/>
  <c r="I3" i="2" s="1" a="1"/>
  <c r="I3" i="2" s="1"/>
  <c r="J3" i="2" s="1"/>
  <c r="C12" i="7" l="1"/>
  <c r="H3" i="2"/>
  <c r="G12" i="7" s="1"/>
  <c r="E12" i="7"/>
  <c r="I12" i="7"/>
  <c r="K1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F40A2-DCBD-4B76-A319-60B0A9A398E0}" keepAlive="1" name="Consulta - costos_fijos" description="Conexión a la consulta 'costos_fijos' en el libro." type="5" refreshedVersion="8" background="1" saveData="1">
    <dbPr connection="Provider=Microsoft.Mashup.OleDb.1;Data Source=$Workbook$;Location=costos_fijos;Extended Properties=&quot;&quot;" command="SELECT * FROM [costos_fijos]"/>
  </connection>
  <connection id="2" xr16:uid="{E986136C-FCDB-4844-B2D0-13A5512B7379}" keepAlive="1" name="Consulta - parametros_financieros" description="Conexión a la consulta 'parametros_financieros' en el libro." type="5" refreshedVersion="8" background="1" saveData="1">
    <dbPr connection="Provider=Microsoft.Mashup.OleDb.1;Data Source=$Workbook$;Location=parametros_financieros;Extended Properties=&quot;&quot;" command="SELECT * FROM [parametros_financieros]"/>
  </connection>
  <connection id="3" xr16:uid="{8619DF5B-5B2D-4CAD-9666-DF9254F7C673}" keepAlive="1" name="Consulta - productos" description="Conexión a la consulta 'productos' en el libro." type="5" refreshedVersion="0" background="1">
    <dbPr connection="Provider=Microsoft.Mashup.OleDb.1;Data Source=$Workbook$;Location=productos;Extended Properties=&quot;&quot;" command="SELECT * FROM [productos]"/>
  </connection>
  <connection id="4" xr16:uid="{D0ABD63E-EC61-4F55-ADFE-445418458C4A}" keepAlive="1" name="Consulta - vendedores" description="Conexión a la consulta 'vendedores' en el libro." type="5" refreshedVersion="0" background="1">
    <dbPr connection="Provider=Microsoft.Mashup.OleDb.1;Data Source=$Workbook$;Location=vendedores;Extended Properties=&quot;&quot;" command="SELECT * FROM [vendedores]"/>
  </connection>
  <connection id="5" xr16:uid="{AF506739-7677-4A90-9F77-5C406564E6F8}" keepAlive="1" name="Consulta - Ventas_Consolidadas" description="Conexión a la consulta 'Ventas_Consolidadas' en el libro." type="5" refreshedVersion="8" background="1" saveData="1">
    <dbPr connection="Provider=Microsoft.Mashup.OleDb.1;Data Source=$Workbook$;Location=Ventas_Consolidadas;Extended Properties=&quot;&quot;" command="SELECT * FROM [Ventas_Consolidadas]"/>
  </connection>
  <connection id="6" xr16:uid="{07BD7784-9D25-4E97-81E4-C73AF156432F}" keepAlive="1" name="Consulta - Ventas_Ene_2025_Ana" description="Conexión a la consulta 'Ventas_Ene_2025_Ana' en el libro." type="5" refreshedVersion="8" background="1" saveData="1">
    <dbPr connection="Provider=Microsoft.Mashup.OleDb.1;Data Source=$Workbook$;Location=Ventas_Ene_2025_Ana;Extended Properties=&quot;&quot;" command="SELECT * FROM [Ventas_Ene_2025_Ana]"/>
  </connection>
  <connection id="7" xr16:uid="{79FA2EB9-9807-4C0A-8E29-B78FC909C929}" keepAlive="1" name="Consulta - Ventas_Ene_2025_Carlos" description="Conexión a la consulta 'Ventas_Ene_2025_Carlos' en el libro." type="5" refreshedVersion="0" background="1">
    <dbPr connection="Provider=Microsoft.Mashup.OleDb.1;Data Source=$Workbook$;Location=Ventas_Ene_2025_Carlos;Extended Properties=&quot;&quot;" command="SELECT * FROM [Ventas_Ene_2025_Carlos]"/>
  </connection>
  <connection id="8" xr16:uid="{2D05C40C-8C8F-4FE0-9004-86B0E3E4DCAC}" keepAlive="1" name="Consulta - Ventas_Ene_2025_Luis" description="Conexión a la consulta 'Ventas_Ene_2025_Luis' en el libro." type="5" refreshedVersion="8" background="1" saveData="1">
    <dbPr connection="Provider=Microsoft.Mashup.OleDb.1;Data Source=$Workbook$;Location=Ventas_Ene_2025_Luis;Extended Properties=&quot;&quot;" command="SELECT * FROM [Ventas_Ene_2025_Lui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<sst xmlns="http://schemas.openxmlformats.org/spreadsheetml/2006/main" count="183" uniqueCount="89">
  <si>
    <t>id_venta</t>
  </si>
  <si>
    <t>fecha</t>
  </si>
  <si>
    <t>id_producto</t>
  </si>
  <si>
    <t>id_vendedor</t>
  </si>
  <si>
    <t>cantidad</t>
  </si>
  <si>
    <t>nombre_producto</t>
  </si>
  <si>
    <t>categoria</t>
  </si>
  <si>
    <t>precio_venta</t>
  </si>
  <si>
    <t>costo_compra</t>
  </si>
  <si>
    <t>nombre_vendedor</t>
  </si>
  <si>
    <t>region</t>
  </si>
  <si>
    <t>porcentaje_comision</t>
  </si>
  <si>
    <t>P001</t>
  </si>
  <si>
    <t>V001</t>
  </si>
  <si>
    <t>Laptop</t>
  </si>
  <si>
    <t>Computo</t>
  </si>
  <si>
    <t>Bogota</t>
  </si>
  <si>
    <t>P002</t>
  </si>
  <si>
    <t>V002</t>
  </si>
  <si>
    <t>Smartphone</t>
  </si>
  <si>
    <t>Telefonia</t>
  </si>
  <si>
    <t>Medellin</t>
  </si>
  <si>
    <t>P003</t>
  </si>
  <si>
    <t>V003</t>
  </si>
  <si>
    <t>Audifonos</t>
  </si>
  <si>
    <t>Accesorios</t>
  </si>
  <si>
    <t>Cali</t>
  </si>
  <si>
    <t>Venta_Bruta</t>
  </si>
  <si>
    <t>Costo_Compra_Total</t>
  </si>
  <si>
    <t>Ganancia_Bruta</t>
  </si>
  <si>
    <t>Comision</t>
  </si>
  <si>
    <t>id_costo</t>
  </si>
  <si>
    <t>concepto</t>
  </si>
  <si>
    <t>valor_trimestral</t>
  </si>
  <si>
    <t>CF001</t>
  </si>
  <si>
    <t>Arriendo</t>
  </si>
  <si>
    <t>CF002</t>
  </si>
  <si>
    <t>Nomina Administrativa</t>
  </si>
  <si>
    <t>CF003</t>
  </si>
  <si>
    <t>Servicios Publicos</t>
  </si>
  <si>
    <t>Suma de Venta_Bruta</t>
  </si>
  <si>
    <t>Suma de Margen Bruto</t>
  </si>
  <si>
    <t>KPI'S</t>
  </si>
  <si>
    <t>VENTAS POR REGIÓN</t>
  </si>
  <si>
    <t>Etiquetas de fila</t>
  </si>
  <si>
    <t>Total general</t>
  </si>
  <si>
    <t>meta</t>
  </si>
  <si>
    <t>Costo de Compra</t>
  </si>
  <si>
    <t>Venta Bruta</t>
  </si>
  <si>
    <t>Ganancia Bruta</t>
  </si>
  <si>
    <t>Comision Vendedores</t>
  </si>
  <si>
    <t>TICKET PROMEDIO POR VENDEDOR POR MES</t>
  </si>
  <si>
    <t>Ticket_Promedio</t>
  </si>
  <si>
    <t>RANKING POR PRODUCTOS</t>
  </si>
  <si>
    <t>RANKING POR VENDEDOR</t>
  </si>
  <si>
    <t>Margen Bruto</t>
  </si>
  <si>
    <t>Comisión Vendedor</t>
  </si>
  <si>
    <t>Ganancia Operativa</t>
  </si>
  <si>
    <t>Ganancia Neta</t>
  </si>
  <si>
    <t>Margen Neto</t>
  </si>
  <si>
    <t>Total_Trimestral</t>
  </si>
  <si>
    <t>Costo_Fijo</t>
  </si>
  <si>
    <t>Ganacia_Operativa</t>
  </si>
  <si>
    <t>Margen_Operativo</t>
  </si>
  <si>
    <t>Ganacia_Neta</t>
  </si>
  <si>
    <t>parametro</t>
  </si>
  <si>
    <t>valor</t>
  </si>
  <si>
    <t>tasa_impuesto_renta</t>
  </si>
  <si>
    <t>Margen_Neto</t>
  </si>
  <si>
    <t>Margen Operativo</t>
  </si>
  <si>
    <t>Costo Operativo</t>
  </si>
  <si>
    <t>Regiones</t>
  </si>
  <si>
    <t xml:space="preserve"> Venta_Bruta</t>
  </si>
  <si>
    <t>cumplimiento_meta</t>
  </si>
  <si>
    <t>Suma de cumplimiento_meta</t>
  </si>
  <si>
    <t>Carlos</t>
  </si>
  <si>
    <t>Ana</t>
  </si>
  <si>
    <t>Luis</t>
  </si>
  <si>
    <t>Ventas</t>
  </si>
  <si>
    <t>Num. Ventas</t>
  </si>
  <si>
    <t>Cant.</t>
  </si>
  <si>
    <t>PRODUCTO VS. VENDEDOR</t>
  </si>
  <si>
    <t>Total_Mensual</t>
  </si>
  <si>
    <t>TECHSTORE - DASHBOARD EJECUTIVO DE VENTAS - ENE.  2026</t>
  </si>
  <si>
    <t>CUMPLIMIENTO DE METAS</t>
  </si>
  <si>
    <t>Suma de cantidad</t>
  </si>
  <si>
    <t>Ticket Promedio Producto</t>
  </si>
  <si>
    <t>% Participación</t>
  </si>
  <si>
    <t>Metricas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</si>
</sst>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\ #,##0;\-&quot;$&quot;\ #,##0"/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0"/>
      <name val="Arial Black"/>
      <family val="2"/>
    </font>
    <font>
      <sz val="2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E7F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F7DD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14" fontId="0" fillId="0" borderId="0" xfId="0" applyNumberFormat="1"/>
    <xf numFmtId="9" fontId="0" fillId="0" borderId="0" xfId="1" applyFont="1"/>
    <xf numFmtId="3" fontId="0" fillId="0" borderId="0" xfId="0" applyNumberFormat="1"/>
    <xf numFmtId="0" fontId="5" fillId="0" borderId="0" xfId="0" applyFont="1" applyAlignment="1">
      <alignment vertical="center"/>
    </xf>
    <xf numFmtId="9" fontId="0" fillId="0" borderId="0" xfId="0" applyNumberFormat="1"/>
    <xf numFmtId="0" fontId="6" fillId="0" borderId="0" xfId="0" applyFont="1"/>
    <xf numFmtId="0" fontId="0" fillId="0" borderId="10" xfId="0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5" fontId="4" fillId="0" borderId="0" xfId="2" applyNumberFormat="1" applyFont="1" applyFill="1" applyBorder="1" applyAlignment="1">
      <alignment vertical="center"/>
    </xf>
    <xf numFmtId="5" fontId="4" fillId="0" borderId="5" xfId="2" applyNumberFormat="1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0" xfId="0" applyFont="1"/>
    <xf numFmtId="9" fontId="4" fillId="0" borderId="0" xfId="1" applyFont="1" applyFill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9" xfId="0" pivotButton="1" applyBorder="1" applyAlignment="1">
      <alignment horizontal="left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3" fillId="5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3" fontId="3" fillId="0" borderId="0" xfId="0" applyNumberFormat="1" applyFont="1"/>
    <xf numFmtId="5" fontId="3" fillId="0" borderId="0" xfId="0" applyNumberFormat="1" applyFont="1"/>
    <xf numFmtId="0" fontId="7" fillId="0" borderId="5" xfId="0" applyFont="1" applyBorder="1"/>
    <xf numFmtId="0" fontId="3" fillId="0" borderId="5" xfId="0" applyFont="1" applyBorder="1"/>
    <xf numFmtId="9" fontId="4" fillId="0" borderId="5" xfId="1" applyFont="1" applyFill="1" applyBorder="1" applyAlignment="1">
      <alignment vertical="center"/>
    </xf>
    <xf numFmtId="3" fontId="3" fillId="0" borderId="5" xfId="0" applyNumberFormat="1" applyFont="1" applyBorder="1"/>
    <xf numFmtId="3" fontId="0" fillId="0" borderId="5" xfId="0" applyNumberFormat="1" applyBorder="1"/>
    <xf numFmtId="5" fontId="3" fillId="0" borderId="5" xfId="0" applyNumberFormat="1" applyFont="1" applyBorder="1"/>
    <xf numFmtId="0" fontId="3" fillId="0" borderId="18" xfId="0" applyFont="1" applyBorder="1"/>
    <xf numFmtId="0" fontId="0" fillId="0" borderId="20" xfId="0" applyBorder="1"/>
    <xf numFmtId="0" fontId="3" fillId="2" borderId="20" xfId="0" applyFont="1" applyFill="1" applyBorder="1" applyAlignment="1">
      <alignment horizontal="center"/>
    </xf>
    <xf numFmtId="3" fontId="0" fillId="0" borderId="20" xfId="0" applyNumberFormat="1" applyBorder="1"/>
    <xf numFmtId="9" fontId="0" fillId="0" borderId="20" xfId="0" applyNumberFormat="1" applyBorder="1"/>
    <xf numFmtId="9" fontId="0" fillId="0" borderId="20" xfId="1" applyFont="1" applyBorder="1"/>
    <xf numFmtId="0" fontId="4" fillId="0" borderId="0" xfId="0" applyFont="1" applyAlignment="1">
      <alignment vertical="center"/>
    </xf>
    <xf numFmtId="0" fontId="0" fillId="0" borderId="20" xfId="0" applyBorder="1" applyAlignment="1">
      <alignment horizontal="center"/>
    </xf>
    <xf numFmtId="0" fontId="0" fillId="0" borderId="20" xfId="0" pivotButton="1" applyBorder="1"/>
    <xf numFmtId="0" fontId="0" fillId="0" borderId="20" xfId="0" applyBorder="1" applyAlignment="1">
      <alignment horizontal="left"/>
    </xf>
    <xf numFmtId="10" fontId="0" fillId="0" borderId="20" xfId="0" applyNumberFormat="1" applyBorder="1"/>
    <xf numFmtId="5" fontId="0" fillId="0" borderId="11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3" fontId="3" fillId="0" borderId="19" xfId="0" applyNumberFormat="1" applyFont="1" applyBorder="1"/>
    <xf numFmtId="3" fontId="5" fillId="0" borderId="0" xfId="0" applyNumberFormat="1" applyFont="1" applyAlignment="1">
      <alignment vertical="center"/>
    </xf>
    <xf numFmtId="0" fontId="0" fillId="0" borderId="0" xfId="0" pivotButton="1"/>
    <xf numFmtId="10" fontId="0" fillId="0" borderId="0" xfId="0" applyNumberFormat="1"/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9" borderId="15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5" fontId="4" fillId="7" borderId="13" xfId="2" applyNumberFormat="1" applyFont="1" applyFill="1" applyBorder="1" applyAlignment="1">
      <alignment horizontal="center" vertical="center"/>
    </xf>
    <xf numFmtId="5" fontId="4" fillId="7" borderId="14" xfId="2" applyNumberFormat="1" applyFont="1" applyFill="1" applyBorder="1" applyAlignment="1">
      <alignment horizontal="center" vertical="center"/>
    </xf>
    <xf numFmtId="9" fontId="4" fillId="6" borderId="13" xfId="1" applyFont="1" applyFill="1" applyBorder="1" applyAlignment="1">
      <alignment horizontal="center" vertical="center"/>
    </xf>
    <xf numFmtId="9" fontId="4" fillId="6" borderId="14" xfId="1" applyFont="1" applyFill="1" applyBorder="1" applyAlignment="1">
      <alignment horizontal="center" vertical="center"/>
    </xf>
    <xf numFmtId="5" fontId="4" fillId="6" borderId="13" xfId="2" applyNumberFormat="1" applyFont="1" applyFill="1" applyBorder="1" applyAlignment="1">
      <alignment horizontal="center" vertical="center"/>
    </xf>
    <xf numFmtId="5" fontId="4" fillId="6" borderId="14" xfId="2" applyNumberFormat="1" applyFont="1" applyFill="1" applyBorder="1" applyAlignment="1">
      <alignment horizontal="center" vertical="center"/>
    </xf>
    <xf numFmtId="9" fontId="4" fillId="8" borderId="13" xfId="1" applyFont="1" applyFill="1" applyBorder="1" applyAlignment="1">
      <alignment horizontal="center" vertical="center"/>
    </xf>
    <xf numFmtId="9" fontId="4" fillId="8" borderId="14" xfId="1" applyFont="1" applyFill="1" applyBorder="1" applyAlignment="1">
      <alignment horizontal="center" vertical="center"/>
    </xf>
    <xf numFmtId="5" fontId="4" fillId="8" borderId="13" xfId="2" applyNumberFormat="1" applyFont="1" applyFill="1" applyBorder="1" applyAlignment="1">
      <alignment horizontal="center" vertical="center"/>
    </xf>
    <xf numFmtId="5" fontId="4" fillId="8" borderId="14" xfId="2" applyNumberFormat="1" applyFont="1" applyFill="1" applyBorder="1" applyAlignment="1">
      <alignment horizontal="center" vertical="center"/>
    </xf>
    <xf numFmtId="5" fontId="4" fillId="5" borderId="13" xfId="2" applyNumberFormat="1" applyFont="1" applyFill="1" applyBorder="1" applyAlignment="1">
      <alignment horizontal="center" vertical="center"/>
    </xf>
    <xf numFmtId="5" fontId="4" fillId="5" borderId="14" xfId="2" applyNumberFormat="1" applyFont="1" applyFill="1" applyBorder="1" applyAlignment="1">
      <alignment horizontal="center" vertical="center"/>
    </xf>
    <xf numFmtId="5" fontId="4" fillId="3" borderId="13" xfId="2" applyNumberFormat="1" applyFont="1" applyFill="1" applyBorder="1" applyAlignment="1">
      <alignment horizontal="center" vertical="center"/>
    </xf>
    <xf numFmtId="5" fontId="4" fillId="3" borderId="14" xfId="2" applyNumberFormat="1" applyFont="1" applyFill="1" applyBorder="1" applyAlignment="1">
      <alignment horizontal="center" vertical="center"/>
    </xf>
    <xf numFmtId="5" fontId="4" fillId="4" borderId="13" xfId="2" applyNumberFormat="1" applyFont="1" applyFill="1" applyBorder="1" applyAlignment="1">
      <alignment horizontal="center" vertical="center"/>
    </xf>
    <xf numFmtId="5" fontId="4" fillId="4" borderId="14" xfId="2" applyNumberFormat="1" applyFont="1" applyFill="1" applyBorder="1" applyAlignment="1">
      <alignment horizontal="center" vertical="center"/>
    </xf>
    <xf numFmtId="9" fontId="4" fillId="4" borderId="13" xfId="1" applyFont="1" applyFill="1" applyBorder="1" applyAlignment="1">
      <alignment horizontal="center" vertical="center"/>
    </xf>
    <xf numFmtId="9" fontId="4" fillId="4" borderId="14" xfId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5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right"/>
    </xf>
    <xf numFmtId="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20" xfId="0" applyNumberFormat="1" applyBorder="1"/>
  </cellXfs>
  <cellStyles count="3">
    <cellStyle name="Moneda" xfId="2" builtinId="4"/>
    <cellStyle name="Normal" xfId="0" builtinId="0"/>
    <cellStyle name="Porcentaje" xfId="1" builtinId="5"/>
  </cellStyles>
  <dxfs count="224">
    <dxf>
      <numFmt numFmtId="3" formatCode="#,##0"/>
    </dxf>
    <dxf>
      <numFmt numFmtId="3" formatCode="#,##0"/>
    </dxf>
    <dxf>
      <numFmt numFmtId="9" formatCode="&quot;$&quot;\ #,##0;\-&quot;$&quot;\ #,##0"/>
    </dxf>
    <dxf>
      <alignment horizontal="left"/>
    </dxf>
    <dxf>
      <alignment horizontal="center"/>
    </dxf>
    <dxf>
      <alignment vertical="center"/>
    </dxf>
    <dxf>
      <alignment vertical="center"/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3" formatCode="#,##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3" formatCode="#,##0"/>
    </dxf>
    <dxf>
      <numFmt numFmtId="13" formatCode="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3" formatCode="#,##0"/>
    </dxf>
    <dxf>
      <numFmt numFmtId="3" formatCode="#,##0"/>
    </dxf>
    <dxf>
      <numFmt numFmtId="9" formatCode="&quot;$&quot;\ #,##0;\-&quot;$&quot;\ #,##0"/>
    </dxf>
    <dxf>
      <alignment horizontal="left"/>
    </dxf>
    <dxf>
      <alignment horizontal="center"/>
    </dxf>
    <dxf>
      <alignment vertical="center"/>
    </dxf>
    <dxf>
      <alignment vertical="center"/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3" formatCode="#,##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3" formatCode="#,##0"/>
    </dxf>
    <dxf>
      <numFmt numFmtId="13" formatCode="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border>
        <horizontal style="thin">
          <color auto="1"/>
        </horizontal>
      </border>
    </dxf>
    <dxf>
      <alignment vertical="center"/>
    </dxf>
    <dxf>
      <alignment vertical="center"/>
    </dxf>
    <dxf>
      <alignment horizontal="center"/>
    </dxf>
    <dxf>
      <alignment horizontal="left"/>
    </dxf>
    <dxf>
      <numFmt numFmtId="9" formatCode="&quot;$&quot;\ #,##0;\-&quot;$&quot;\ 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3" formatCode="0%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4F0DC"/>
      <color rgb="FFFFFFD5"/>
      <color rgb="FFE7F9FF"/>
      <color rgb="FFFFF7DD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[TechStore_Proyecto.xlsx]KPI_S!VENTAS POR REGION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Participación de Ventas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KPI_S!$B$7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CD-49C1-818D-10AD93D5441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ECD-49C1-818D-10AD93D5441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CD-49C1-818D-10AD93D544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KPI_S!$A$8:$A$11</c:f>
              <c:strCache>
                <c:ptCount val="3"/>
                <c:pt idx="0">
                  <c:v>Bogota</c:v>
                </c:pt>
                <c:pt idx="1">
                  <c:v>Cali</c:v>
                </c:pt>
                <c:pt idx="2">
                  <c:v>Medellin</c:v>
                </c:pt>
              </c:strCache>
            </c:strRef>
          </c:cat>
          <c:val>
            <c:numRef>
              <c:f>KPI_S!$B$8:$B$11</c:f>
              <c:numCache>
                <c:formatCode>0.00%</c:formatCode>
                <c:ptCount val="3"/>
                <c:pt idx="0">
                  <c:v>0.47699025864964728</c:v>
                </c:pt>
                <c:pt idx="1">
                  <c:v>0.19046019482700705</c:v>
                </c:pt>
                <c:pt idx="2">
                  <c:v>0.33254954652334567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CD-49C1-818D-10AD93D5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[TechStore_Proyecto.xlsx]KPI_S!Metas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Cumplimiento de Meta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  <c:pivotFmt>
        <c:idx val="5"/>
        <c:spPr>
          <a:solidFill>
            <a:srgbClr val="92D050"/>
          </a:solidFill>
          <a:ln>
            <a:noFill/>
          </a:ln>
          <a:effectLst/>
        </c:spPr>
      </c:pivotFmt>
      <c:pivotFmt>
        <c:idx val="6"/>
        <c:spPr>
          <a:solidFill>
            <a:srgbClr val="92D050"/>
          </a:solidFill>
          <a:ln>
            <a:noFill/>
          </a:ln>
          <a:effectLst/>
        </c:spPr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  <c:pivotFmt>
        <c:idx val="8"/>
        <c:spPr>
          <a:solidFill>
            <a:srgbClr val="FFFF0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92D050"/>
          </a:solidFill>
          <a:ln>
            <a:noFill/>
          </a:ln>
          <a:effectLst/>
        </c:spPr>
      </c:pivotFmt>
      <c:pivotFmt>
        <c:idx val="12"/>
        <c:spPr>
          <a:solidFill>
            <a:srgbClr val="92D050"/>
          </a:solidFill>
          <a:ln>
            <a:noFill/>
          </a:ln>
          <a:effectLst/>
        </c:spPr>
      </c:pivotFmt>
      <c:pivotFmt>
        <c:idx val="13"/>
        <c:spPr>
          <a:solidFill>
            <a:srgbClr val="92D050"/>
          </a:solidFill>
          <a:ln>
            <a:noFill/>
          </a:ln>
          <a:effectLst/>
        </c:spPr>
      </c:pivotFmt>
      <c:pivotFmt>
        <c:idx val="14"/>
        <c:spPr>
          <a:solidFill>
            <a:srgbClr val="92D050"/>
          </a:solidFill>
          <a:ln>
            <a:noFill/>
          </a:ln>
          <a:effectLst/>
        </c:spPr>
      </c:pivotFmt>
      <c:pivotFmt>
        <c:idx val="15"/>
        <c:spPr>
          <a:solidFill>
            <a:srgbClr val="92D050"/>
          </a:solidFill>
          <a:ln>
            <a:noFill/>
          </a:ln>
          <a:effectLst/>
        </c:spPr>
      </c:pivotFmt>
      <c:pivotFmt>
        <c:idx val="16"/>
        <c:spPr>
          <a:solidFill>
            <a:srgbClr val="FFFF00"/>
          </a:solidFill>
          <a:ln>
            <a:noFill/>
          </a:ln>
          <a:effectLst/>
        </c:spPr>
      </c:pivotFmt>
      <c:pivotFmt>
        <c:idx val="17"/>
        <c:spPr>
          <a:solidFill>
            <a:srgbClr val="FFFF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FF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FF00"/>
          </a:solidFill>
          <a:ln>
            <a:noFill/>
          </a:ln>
          <a:effectLst/>
        </c:spPr>
      </c:pivotFmt>
      <c:pivotFmt>
        <c:idx val="22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KPI_S!$B$39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58C-4E81-96AB-9EBE4112750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58C-4E81-96AB-9EBE4112750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58C-4E81-96AB-9EBE41127506}"/>
              </c:ext>
            </c:extLst>
          </c:dPt>
          <c:cat>
            <c:strRef>
              <c:f>KPI_S!$A$40:$A$42</c:f>
              <c:strCache>
                <c:ptCount val="3"/>
                <c:pt idx="0">
                  <c:v>Carlos</c:v>
                </c:pt>
                <c:pt idx="1">
                  <c:v>Ana</c:v>
                </c:pt>
                <c:pt idx="2">
                  <c:v>Luis</c:v>
                </c:pt>
              </c:strCache>
            </c:strRef>
          </c:cat>
          <c:val>
            <c:numRef>
              <c:f>KPI_S!$B$40:$B$42</c:f>
              <c:numCache>
                <c:formatCode>0%</c:formatCode>
                <c:ptCount val="3"/>
                <c:pt idx="0">
                  <c:v>1.2909090909090908</c:v>
                </c:pt>
                <c:pt idx="1">
                  <c:v>0.9</c:v>
                </c:pt>
                <c:pt idx="2">
                  <c:v>0.51545454545454539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58C-4E81-96AB-9EBE41127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8213487"/>
        <c:axId val="1408214927"/>
      </c:barChart>
      <c:catAx>
        <c:axId val="140821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8214927"/>
        <c:crosses val="autoZero"/>
        <c:auto val="1"/>
        <c:lblAlgn val="ctr"/>
        <c:lblOffset val="100"/>
        <c:noMultiLvlLbl val="0"/>
      </c:catAx>
      <c:valAx>
        <c:axId val="140821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821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[TechStore_Proyecto.xlsx]KPI_S!TICKET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promedio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E8-4A14-88C1-669E824A60A2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E8-4A14-88C1-669E824A60A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E8-4A14-88C1-669E824A60A2}"/>
              </c:ext>
            </c:extLst>
          </c:dPt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KPI_S!$A$16:$A$19</c:f>
              <c:strCache>
                <c:ptCount val="3"/>
                <c:pt idx="0">
                  <c:v>Carlos</c:v>
                </c:pt>
                <c:pt idx="1">
                  <c:v>Ana</c:v>
                </c:pt>
                <c:pt idx="2">
                  <c:v>Luis</c:v>
                </c:pt>
              </c:strCache>
            </c:strRef>
          </c:cat>
          <c:val>
            <c:numRef>
              <c:f>KPI_S!$B$16:$B$19</c:f>
              <c:numCache>
                <c:formatCode>General</c:formatCode>
                <c:ptCount val="3"/>
                <c:pt idx="0">
                  <c:v>47333333.333333336</c:v>
                </c:pt>
                <c:pt idx="1">
                  <c:v>33000000</c:v>
                </c:pt>
                <c:pt idx="2">
                  <c:v>18900000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8-4A14-88C1-669E824A60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7462511"/>
        <c:axId val="237461551"/>
      </c:barChart>
      <c:catAx>
        <c:axId val="237462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7461551"/>
        <c:crosses val="autoZero"/>
        <c:auto val="1"/>
        <c:lblAlgn val="ctr"/>
        <c:lblOffset val="100"/>
        <c:noMultiLvlLbl val="0"/>
      </c:catAx>
      <c:valAx>
        <c:axId val="23746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746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[TechStore_Proyecto.xlsx]KPI_S!RANKING VENDEDOR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Vendedor Vs. Num.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KPI_S!$B$31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KPI_S!$A$32:$A$35</c:f>
              <c:strCache>
                <c:ptCount val="3"/>
                <c:pt idx="0">
                  <c:v>Carlos</c:v>
                </c:pt>
                <c:pt idx="1">
                  <c:v>Ana</c:v>
                </c:pt>
                <c:pt idx="2">
                  <c:v>Luis</c:v>
                </c:pt>
              </c:strCache>
            </c:strRef>
          </c:cat>
          <c:val>
            <c:numRef>
              <c:f>KPI_S!$B$32:$B$35</c:f>
              <c:numCache>
                <c:formatCode>#,##0</c:formatCode>
                <c:ptCount val="3"/>
                <c:pt idx="0">
                  <c:v>142000000</c:v>
                </c:pt>
                <c:pt idx="1">
                  <c:v>99000000</c:v>
                </c:pt>
                <c:pt idx="2">
                  <c:v>56700000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7-4AC7-8A18-F7DADB355A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08226447"/>
        <c:axId val="1408229327"/>
      </c:barChart>
      <c:lineChart>
        <c:grouping val="standard"/>
        <c:varyColors val="0"/>
        <c:ser>
          <c:idx val="1"/>
          <c:order val="1"/>
          <c:tx>
            <c:strRef>
              <c:f>KPI_S!$C$31</c:f>
              <c:strCache>
                <c:ptCount val="1"/>
                <c:pt idx="0">
                  <c:v>Num. 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KPI_S!$A$32:$A$35</c:f>
              <c:strCache>
                <c:ptCount val="3"/>
                <c:pt idx="0">
                  <c:v>Carlos</c:v>
                </c:pt>
                <c:pt idx="1">
                  <c:v>Ana</c:v>
                </c:pt>
                <c:pt idx="2">
                  <c:v>Luis</c:v>
                </c:pt>
              </c:strCache>
            </c:strRef>
          </c:cat>
          <c:val>
            <c:numRef>
              <c:f>KPI_S!$C$32:$C$35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7-4AC7-8A18-F7DADB35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230767"/>
        <c:axId val="1408216367"/>
      </c:lineChart>
      <c:catAx>
        <c:axId val="140822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8229327"/>
        <c:crosses val="autoZero"/>
        <c:auto val="1"/>
        <c:lblAlgn val="ctr"/>
        <c:lblOffset val="100"/>
        <c:noMultiLvlLbl val="0"/>
      </c:catAx>
      <c:valAx>
        <c:axId val="14082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8226447"/>
        <c:crosses val="autoZero"/>
        <c:crossBetween val="between"/>
      </c:valAx>
      <c:valAx>
        <c:axId val="1408216367"/>
        <c:scaling>
          <c:orientation val="minMax"/>
          <c:max val="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8230767"/>
        <c:crosses val="max"/>
        <c:crossBetween val="between"/>
      </c:valAx>
      <c:catAx>
        <c:axId val="1408230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8216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[TechStore_Proyecto.xlsx]KPI_S!RANKIG PRODUCTOS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Producto Vs. Und. Vendidas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KPI_S!$B$23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KPI_S!$A$24:$A$27</c:f>
              <c:strCache>
                <c:ptCount val="3"/>
                <c:pt idx="0">
                  <c:v>Smartphone</c:v>
                </c:pt>
                <c:pt idx="1">
                  <c:v>Laptop</c:v>
                </c:pt>
                <c:pt idx="2">
                  <c:v>Audifonos</c:v>
                </c:pt>
              </c:strCache>
            </c:strRef>
          </c:cat>
          <c:val>
            <c:numRef>
              <c:f>KPI_S!$B$24:$B$27</c:f>
              <c:numCache>
                <c:formatCode>General</c:formatCode>
                <c:ptCount val="3"/>
                <c:pt idx="0">
                  <c:v>142500000</c:v>
                </c:pt>
                <c:pt idx="1">
                  <c:v>120000000</c:v>
                </c:pt>
                <c:pt idx="2">
                  <c:v>35200000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710-BFD1-8CFC13B616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80571487"/>
        <c:axId val="480559007"/>
      </c:barChart>
      <c:lineChart>
        <c:grouping val="standard"/>
        <c:varyColors val="0"/>
        <c:ser>
          <c:idx val="1"/>
          <c:order val="1"/>
          <c:tx>
            <c:strRef>
              <c:f>KPI_S!$C$23</c:f>
              <c:strCache>
                <c:ptCount val="1"/>
                <c:pt idx="0">
                  <c:v>Cant.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KPI_S!$A$24:$A$27</c:f>
              <c:strCache>
                <c:ptCount val="3"/>
                <c:pt idx="0">
                  <c:v>Smartphone</c:v>
                </c:pt>
                <c:pt idx="1">
                  <c:v>Laptop</c:v>
                </c:pt>
                <c:pt idx="2">
                  <c:v>Audifonos</c:v>
                </c:pt>
              </c:strCache>
            </c:strRef>
          </c:cat>
          <c:val>
            <c:numRef>
              <c:f>KPI_S!$C$24:$C$27</c:f>
              <c:numCache>
                <c:formatCode>General</c:formatCode>
                <c:ptCount val="3"/>
                <c:pt idx="0">
                  <c:v>95</c:v>
                </c:pt>
                <c:pt idx="1">
                  <c:v>40</c:v>
                </c:pt>
                <c:pt idx="2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A-4710-BFD1-8CFC13B61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650704"/>
        <c:axId val="241650224"/>
      </c:lineChart>
      <c:catAx>
        <c:axId val="48057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0559007"/>
        <c:crosses val="autoZero"/>
        <c:auto val="1"/>
        <c:lblAlgn val="ctr"/>
        <c:lblOffset val="100"/>
        <c:noMultiLvlLbl val="0"/>
      </c:catAx>
      <c:valAx>
        <c:axId val="48055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0571487"/>
        <c:crosses val="autoZero"/>
        <c:crossBetween val="between"/>
      </c:valAx>
      <c:valAx>
        <c:axId val="241650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1650704"/>
        <c:crosses val="max"/>
        <c:crossBetween val="between"/>
      </c:valAx>
      <c:catAx>
        <c:axId val="24165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1650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[TechStore_Proyecto.xlsx]KPI_S!Producto vs Vendedor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por Vendedor Vs. Producto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\ 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017-4F42-9683-05383D31A54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A2-40D0-A6E3-8FCF7BB616EB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A2-40D0-A6E3-8FCF7BB616EB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FA2-40D0-A6E3-8FCF7BB616EB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FA2-40D0-A6E3-8FCF7BB616EB}"/>
              </c:ext>
            </c:extLst>
          </c:dPt>
          <c:dLbls>
            <c:numFmt formatCode="&quot;$&quot;\ 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KPI_S!$A$47:$B$55</c:f>
              <c:multiLvlStrCache>
                <c:ptCount val="9"/>
                <c:lvl>
                  <c:pt idx="0">
                    <c:v>Audifonos</c:v>
                  </c:pt>
                  <c:pt idx="1">
                    <c:v>Laptop</c:v>
                  </c:pt>
                  <c:pt idx="2">
                    <c:v>Smartphone</c:v>
                  </c:pt>
                  <c:pt idx="3">
                    <c:v>Audifonos</c:v>
                  </c:pt>
                  <c:pt idx="4">
                    <c:v>Laptop</c:v>
                  </c:pt>
                  <c:pt idx="5">
                    <c:v>Smartphone</c:v>
                  </c:pt>
                  <c:pt idx="6">
                    <c:v>Audifonos</c:v>
                  </c:pt>
                  <c:pt idx="7">
                    <c:v>Laptop</c:v>
                  </c:pt>
                  <c:pt idx="8">
                    <c:v>Smartphone</c:v>
                  </c:pt>
                </c:lvl>
                <c:lvl>
                  <c:pt idx="0">
                    <c:v>Ana</c:v>
                  </c:pt>
                  <c:pt idx="3">
                    <c:v>Carlos</c:v>
                  </c:pt>
                  <c:pt idx="6">
                    <c:v>Luis</c:v>
                  </c:pt>
                </c:lvl>
              </c:multiLvlStrCache>
            </c:multiLvlStrRef>
          </c:cat>
          <c:val>
            <c:numRef>
              <c:f>KPI_S!$C$47:$C$55</c:f>
              <c:numCache>
                <c:formatCode>#,##0</c:formatCode>
                <c:ptCount val="9"/>
                <c:pt idx="0">
                  <c:v>24000000</c:v>
                </c:pt>
                <c:pt idx="1">
                  <c:v>30000000</c:v>
                </c:pt>
                <c:pt idx="2">
                  <c:v>45000000</c:v>
                </c:pt>
                <c:pt idx="3">
                  <c:v>7000000</c:v>
                </c:pt>
                <c:pt idx="4">
                  <c:v>60000000</c:v>
                </c:pt>
                <c:pt idx="5">
                  <c:v>75000000</c:v>
                </c:pt>
                <c:pt idx="6">
                  <c:v>4200000</c:v>
                </c:pt>
                <c:pt idx="7">
                  <c:v>30000000</c:v>
                </c:pt>
                <c:pt idx="8">
                  <c:v>22500000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17-4F42-9683-05383D31A5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41597904"/>
        <c:axId val="241608944"/>
      </c:barChart>
      <c:catAx>
        <c:axId val="24159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1608944"/>
        <c:crosses val="autoZero"/>
        <c:auto val="1"/>
        <c:lblAlgn val="ctr"/>
        <c:lblOffset val="100"/>
        <c:noMultiLvlLbl val="0"/>
      </c:catAx>
      <c:valAx>
        <c:axId val="2416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159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6</xdr:col>
      <xdr:colOff>0</xdr:colOff>
      <xdr:row>37</xdr:row>
      <xdr:rowOff>12699</xdr:rowOff>
    </xdr:to>
    <xdr:graphicFrame macro="">
      <xdr:nvGraphicFramePr>
        <xdr:cNvPr id="2" name="PARTICIPACION">
          <a:extLst>
            <a:ext uri="{FF2B5EF4-FFF2-40B4-BE49-F238E27FC236}">
              <a16:creationId xmlns:a16="http://schemas.microsoft.com/office/drawing/2014/main" id="{E063E4B8-ED9D-D591-4352-78DF1AD05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11</xdr:col>
      <xdr:colOff>0</xdr:colOff>
      <xdr:row>36</xdr:row>
      <xdr:rowOff>168766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689D9FC3-D2BE-0D51-2726-BDEE6F656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39</xdr:row>
      <xdr:rowOff>0</xdr:rowOff>
    </xdr:from>
    <xdr:to>
      <xdr:col>5</xdr:col>
      <xdr:colOff>1476909</xdr:colOff>
      <xdr:row>54</xdr:row>
      <xdr:rowOff>8299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EC71A214-2C88-830F-7E63-4EE1881AC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11</xdr:col>
      <xdr:colOff>0</xdr:colOff>
      <xdr:row>54</xdr:row>
      <xdr:rowOff>8299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31BF3D02-5CA7-A378-FF03-57A8FFF8A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55</xdr:row>
      <xdr:rowOff>178465</xdr:rowOff>
    </xdr:from>
    <xdr:to>
      <xdr:col>6</xdr:col>
      <xdr:colOff>0</xdr:colOff>
      <xdr:row>71</xdr:row>
      <xdr:rowOff>0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87AF16E5-2464-4D2F-7628-537DD72A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</xdr:colOff>
      <xdr:row>55</xdr:row>
      <xdr:rowOff>177592</xdr:rowOff>
    </xdr:from>
    <xdr:to>
      <xdr:col>11</xdr:col>
      <xdr:colOff>1</xdr:colOff>
      <xdr:row>71</xdr:row>
      <xdr:rowOff>0</xdr:rowOff>
    </xdr:to>
    <xdr:graphicFrame macro="">
      <xdr:nvGraphicFramePr>
        <xdr:cNvPr id="7" name="Gráfico 8">
          <a:extLst>
            <a:ext uri="{FF2B5EF4-FFF2-40B4-BE49-F238E27FC236}">
              <a16:creationId xmlns:a16="http://schemas.microsoft.com/office/drawing/2014/main" id="{F0EB709D-7633-DC00-0F6A-F35710623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0</xdr:colOff>
      <xdr:row>72</xdr:row>
      <xdr:rowOff>121780</xdr:rowOff>
    </xdr:from>
    <xdr:to>
      <xdr:col>4</xdr:col>
      <xdr:colOff>576420</xdr:colOff>
      <xdr:row>79</xdr:row>
      <xdr:rowOff>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nombre_producto">
              <a:extLst>
                <a:ext uri="{FF2B5EF4-FFF2-40B4-BE49-F238E27FC236}">
                  <a16:creationId xmlns:a16="http://schemas.microsoft.com/office/drawing/2014/main" id="{A11006C5-008C-6D51-60E9-7AB0CA753B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357" y="13520280"/>
              <a:ext cx="2055063" cy="114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915613</xdr:colOff>
      <xdr:row>72</xdr:row>
      <xdr:rowOff>84427</xdr:rowOff>
    </xdr:from>
    <xdr:to>
      <xdr:col>10</xdr:col>
      <xdr:colOff>418</xdr:colOff>
      <xdr:row>79</xdr:row>
      <xdr:rowOff>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981A9803-C68C-A8B2-A22E-FC9F3145DC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59184" y="13482927"/>
              <a:ext cx="2041673" cy="1185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1133354</xdr:colOff>
      <xdr:row>72</xdr:row>
      <xdr:rowOff>119078</xdr:rowOff>
    </xdr:from>
    <xdr:to>
      <xdr:col>7</xdr:col>
      <xdr:colOff>224814</xdr:colOff>
      <xdr:row>79</xdr:row>
      <xdr:rowOff>446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nombre_vendedor">
              <a:extLst>
                <a:ext uri="{FF2B5EF4-FFF2-40B4-BE49-F238E27FC236}">
                  <a16:creationId xmlns:a16="http://schemas.microsoft.com/office/drawing/2014/main" id="{99D7170E-FA25-5E07-877C-367989F10F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0997" y="13517578"/>
              <a:ext cx="2048746" cy="1151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9.81154166667" createdVersion="8" refreshedVersion="8" minRefreshableVersion="3" recordCount="9" xr:uid="{005780A3-BBA2-4F9C-9113-707D57A03CAC}">
  <cacheSource type="worksheet">
    <worksheetSource name="Ventas_Consolidadas"/>
  </cacheSource>
  <cacheFields count="23">
    <cacheField name="id_venta" numFmtId="0">
      <sharedItems containsSemiMixedTypes="0" containsString="0" containsNumber="1" containsInteger="1" minValue="1" maxValue="9"/>
    </cacheField>
    <cacheField name="fecha" numFmtId="14">
      <sharedItems containsSemiMixedTypes="0" containsNonDate="0" containsDate="1" containsString="0" minDate="2025-01-03T00:00:00" maxDate="2025-03-26T00:00:00" count="16">
        <d v="2025-01-03T00:00:00"/>
        <d v="2025-01-06T00:00:00"/>
        <d v="2025-01-09T00:00:00"/>
        <d v="2025-01-12T00:00:00"/>
        <d v="2025-01-15T00:00:00"/>
        <d v="2025-01-18T00:00:00"/>
        <d v="2025-01-21T00:00:00"/>
        <d v="2025-01-24T00:00:00"/>
        <d v="2025-01-27T00:00:00"/>
        <d v="2025-01-20T00:00:00" u="1"/>
        <d v="2025-02-10T00:00:00" u="1"/>
        <d v="2025-02-18T00:00:00" u="1"/>
        <d v="2025-02-25T00:00:00" u="1"/>
        <d v="2025-03-05T00:00:00" u="1"/>
        <d v="2025-03-18T00:00:00" u="1"/>
        <d v="2025-03-25T00:00:00" u="1"/>
      </sharedItems>
      <fieldGroup par="20"/>
    </cacheField>
    <cacheField name="id_producto" numFmtId="0">
      <sharedItems/>
    </cacheField>
    <cacheField name="id_vendedor" numFmtId="0">
      <sharedItems/>
    </cacheField>
    <cacheField name="cantidad" numFmtId="0">
      <sharedItems containsSemiMixedTypes="0" containsString="0" containsNumber="1" containsInteger="1" minValue="10" maxValue="120"/>
    </cacheField>
    <cacheField name="nombre_producto" numFmtId="0">
      <sharedItems count="3">
        <s v="Laptop"/>
        <s v="Smartphone"/>
        <s v="Audifonos"/>
      </sharedItems>
    </cacheField>
    <cacheField name="categoria" numFmtId="0">
      <sharedItems count="3">
        <s v="Computo"/>
        <s v="Telefonia"/>
        <s v="Accesorios"/>
      </sharedItems>
    </cacheField>
    <cacheField name="precio_venta" numFmtId="0">
      <sharedItems containsSemiMixedTypes="0" containsString="0" containsNumber="1" containsInteger="1" minValue="200000" maxValue="3000000"/>
    </cacheField>
    <cacheField name="costo_compra" numFmtId="0">
      <sharedItems containsSemiMixedTypes="0" containsString="0" containsNumber="1" containsInteger="1" minValue="120000" maxValue="2200000"/>
    </cacheField>
    <cacheField name="nombre_vendedor" numFmtId="0">
      <sharedItems count="6">
        <s v="Carlos"/>
        <s v="Ana"/>
        <s v="Luis"/>
        <s v="Carlos Perez" u="1"/>
        <s v="Ana Gomez" u="1"/>
        <s v="Luis Ramirez" u="1"/>
      </sharedItems>
    </cacheField>
    <cacheField name="region" numFmtId="0">
      <sharedItems count="3">
        <s v="Bogota"/>
        <s v="Medellin"/>
        <s v="Cali"/>
      </sharedItems>
    </cacheField>
    <cacheField name="porcentaje_comision" numFmtId="0">
      <sharedItems containsSemiMixedTypes="0" containsString="0" containsNumber="1" minValue="0.05" maxValue="7.0000000000000007E-2"/>
    </cacheField>
    <cacheField name="meta" numFmtId="0">
      <sharedItems containsSemiMixedTypes="0" containsString="0" containsNumber="1" containsInteger="1" minValue="110000000" maxValue="110000000"/>
    </cacheField>
    <cacheField name="Venta_Bruta" numFmtId="0">
      <sharedItems containsSemiMixedTypes="0" containsString="0" containsNumber="1" containsInteger="1" minValue="4200000" maxValue="75000000"/>
    </cacheField>
    <cacheField name="Costo_Compra_Total" numFmtId="0">
      <sharedItems containsSemiMixedTypes="0" containsString="0" containsNumber="1" containsInteger="1" minValue="2520000" maxValue="52500000"/>
    </cacheField>
    <cacheField name="Ganancia_Bruta" numFmtId="0">
      <sharedItems containsSemiMixedTypes="0" containsString="0" containsNumber="1" containsInteger="1" minValue="1680000" maxValue="22500000"/>
    </cacheField>
    <cacheField name="Comision" numFmtId="0">
      <sharedItems containsSemiMixedTypes="0" containsString="0" containsNumber="1" containsInteger="1" minValue="210000" maxValue="5250000"/>
    </cacheField>
    <cacheField name="cumplimiento_meta" numFmtId="0">
      <sharedItems containsSemiMixedTypes="0" containsString="0" containsNumber="1" minValue="3.8181818181818185E-2" maxValue="0.68181818181818177"/>
    </cacheField>
    <cacheField name="Margen Bruto" numFmtId="0" formula="Ganancia_Bruta/Venta_Bruta" databaseField="0"/>
    <cacheField name="Días (fecha)" numFmtId="0" databaseField="0">
      <fieldGroup base="1">
        <rangePr groupBy="days" startDate="2025-01-03T00:00:00" endDate="2025-01-28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8/01/2025"/>
        </groupItems>
      </fieldGroup>
    </cacheField>
    <cacheField name="Meses (fecha)" numFmtId="0" databaseField="0">
      <fieldGroup base="1">
        <rangePr groupBy="months" startDate="2025-01-03T00:00:00" endDate="2025-01-28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8/01/2025"/>
        </groupItems>
      </fieldGroup>
    </cacheField>
    <cacheField name="% Meta" numFmtId="0" formula="Venta_Bruta/meta" databaseField="0"/>
    <cacheField name="Ticket Promedio" numFmtId="0" formula="Venta_Bruta/id_venta" databaseField="0"/>
  </cacheFields>
  <extLst>
    <ext xmlns:x14="http://schemas.microsoft.com/office/spreadsheetml/2009/9/main" uri="{725AE2AE-9491-48be-B2B4-4EB974FC3084}">
      <x14:pivotCacheDefinition pivotCacheId="4588337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s v="P001"/>
    <s v="V001"/>
    <n v="20"/>
    <x v="0"/>
    <x v="0"/>
    <n v="3000000"/>
    <n v="2200000"/>
    <x v="0"/>
    <x v="0"/>
    <n v="7.0000000000000007E-2"/>
    <n v="110000000"/>
    <n v="60000000"/>
    <n v="44000000"/>
    <n v="16000000"/>
    <n v="4200000"/>
    <n v="0.54545454545454541"/>
  </r>
  <r>
    <n v="4"/>
    <x v="1"/>
    <s v="P002"/>
    <s v="V002"/>
    <n v="30"/>
    <x v="1"/>
    <x v="1"/>
    <n v="1500000"/>
    <n v="1050000"/>
    <x v="1"/>
    <x v="1"/>
    <n v="0.06"/>
    <n v="110000000"/>
    <n v="45000000"/>
    <n v="31500000"/>
    <n v="13500000"/>
    <n v="2700000"/>
    <n v="0.40909090909090912"/>
  </r>
  <r>
    <n v="7"/>
    <x v="2"/>
    <s v="P003"/>
    <s v="V003"/>
    <n v="21"/>
    <x v="2"/>
    <x v="2"/>
    <n v="200000"/>
    <n v="120000"/>
    <x v="2"/>
    <x v="2"/>
    <n v="0.05"/>
    <n v="110000000"/>
    <n v="4200000"/>
    <n v="2520000"/>
    <n v="1680000"/>
    <n v="210000"/>
    <n v="3.8181818181818185E-2"/>
  </r>
  <r>
    <n v="8"/>
    <x v="3"/>
    <s v="P002"/>
    <s v="V003"/>
    <n v="15"/>
    <x v="1"/>
    <x v="1"/>
    <n v="1500000"/>
    <n v="1050000"/>
    <x v="2"/>
    <x v="2"/>
    <n v="0.05"/>
    <n v="110000000"/>
    <n v="22500000"/>
    <n v="15750000"/>
    <n v="6750000"/>
    <n v="1125000"/>
    <n v="0.20454545454545456"/>
  </r>
  <r>
    <n v="5"/>
    <x v="4"/>
    <s v="P001"/>
    <s v="V002"/>
    <n v="10"/>
    <x v="0"/>
    <x v="0"/>
    <n v="3000000"/>
    <n v="2200000"/>
    <x v="1"/>
    <x v="1"/>
    <n v="0.06"/>
    <n v="110000000"/>
    <n v="30000000"/>
    <n v="22000000"/>
    <n v="8000000"/>
    <n v="1800000"/>
    <n v="0.27272727272727271"/>
  </r>
  <r>
    <n v="2"/>
    <x v="5"/>
    <s v="P003"/>
    <s v="V001"/>
    <n v="35"/>
    <x v="2"/>
    <x v="2"/>
    <n v="200000"/>
    <n v="120000"/>
    <x v="0"/>
    <x v="0"/>
    <n v="7.0000000000000007E-2"/>
    <n v="110000000"/>
    <n v="7000000"/>
    <n v="4200000"/>
    <n v="2800000"/>
    <n v="490000"/>
    <n v="6.363636363636363E-2"/>
  </r>
  <r>
    <n v="3"/>
    <x v="6"/>
    <s v="P002"/>
    <s v="V001"/>
    <n v="50"/>
    <x v="1"/>
    <x v="1"/>
    <n v="1500000"/>
    <n v="1050000"/>
    <x v="0"/>
    <x v="0"/>
    <n v="7.0000000000000007E-2"/>
    <n v="110000000"/>
    <n v="75000000"/>
    <n v="52500000"/>
    <n v="22500000"/>
    <n v="5250000"/>
    <n v="0.68181818181818177"/>
  </r>
  <r>
    <n v="6"/>
    <x v="7"/>
    <s v="P003"/>
    <s v="V002"/>
    <n v="120"/>
    <x v="2"/>
    <x v="2"/>
    <n v="200000"/>
    <n v="120000"/>
    <x v="1"/>
    <x v="1"/>
    <n v="0.06"/>
    <n v="110000000"/>
    <n v="24000000"/>
    <n v="14400000"/>
    <n v="9600000"/>
    <n v="1440000"/>
    <n v="0.21818181818181817"/>
  </r>
  <r>
    <n v="9"/>
    <x v="8"/>
    <s v="P001"/>
    <s v="V003"/>
    <n v="10"/>
    <x v="0"/>
    <x v="0"/>
    <n v="3000000"/>
    <n v="2200000"/>
    <x v="2"/>
    <x v="2"/>
    <n v="0.05"/>
    <n v="110000000"/>
    <n v="30000000"/>
    <n v="22000000"/>
    <n v="8000000"/>
    <n v="1500000"/>
    <n v="0.272727272727272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A3AA-62AE-4159-BCBC-69ACEBBD1F0B}" name="TablaDinámica2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59:F63" firstHeaderRow="0" firstDataRow="1" firstDataCol="2"/>
  <pivotFields count="23">
    <pivotField compact="0" outline="0" showAll="0" defaultSubtotal="0"/>
    <pivotField compact="0" numFmtId="14" outline="0" showAll="0" defaultSubtotal="0">
      <items count="16">
        <item x="0"/>
        <item x="1"/>
        <item x="2"/>
        <item x="3"/>
        <item x="4"/>
        <item x="5"/>
        <item m="1" x="9"/>
        <item x="6"/>
        <item x="7"/>
        <item x="8"/>
        <item m="1" x="10"/>
        <item m="1" x="11"/>
        <item m="1" x="12"/>
        <item m="1" x="13"/>
        <item m="1" x="14"/>
        <item m="1" x="15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5"/>
    <field x="6"/>
  </rowFields>
  <rowItems count="4">
    <i>
      <x/>
      <x/>
    </i>
    <i>
      <x v="1"/>
      <x v="1"/>
    </i>
    <i>
      <x v="2"/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Venta_Bruta" fld="13" baseField="6" baseItem="0" numFmtId="3"/>
    <dataField name="Suma de cantidad" fld="4" baseField="0" baseItem="0"/>
    <dataField name="Ticket Promedio Producto" fld="13" subtotal="average" baseField="6" baseItem="0" numFmtId="3"/>
    <dataField name="% Participación" fld="13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DAF7D-C056-4ACA-8261-E33BD9D41F6B}" name="VENTAS POR REGION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A7:B11" firstHeaderRow="1" firstDataRow="1" firstDataCol="1"/>
  <pivotFields count="23">
    <pivotField showAll="0"/>
    <pivotField numFmtId="14" showAll="0">
      <items count="17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7">
        <item x="1"/>
        <item m="1" x="4"/>
        <item x="0"/>
        <item m="1" x="3"/>
        <item x="2"/>
        <item m="1"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_Bruta" fld="13" showDataAs="percentOfTotal" baseField="10" baseItem="0" numFmtId="10"/>
  </dataFields>
  <formats count="7"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10" type="button" dataOnly="0" labelOnly="1" outline="0" axis="axisRow" fieldPosition="0"/>
    </format>
    <format dxfId="159">
      <pivotArea dataOnly="0" labelOnly="1" fieldPosition="0">
        <references count="1">
          <reference field="10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83A67-9E4B-490B-81C0-4267E88FB197}" name="KPI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:E3" firstHeaderRow="0" firstDataRow="1" firstDataCol="0"/>
  <pivotFields count="23">
    <pivotField showAll="0"/>
    <pivotField numFmtId="14" showAll="0">
      <items count="17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7">
        <item x="1"/>
        <item m="1" x="4"/>
        <item x="0"/>
        <item m="1" x="3"/>
        <item x="2"/>
        <item m="1"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Venta Bruta" fld="13" baseField="0" baseItem="1" numFmtId="3"/>
    <dataField name="Costo de Compra" fld="14" baseField="0" baseItem="1" numFmtId="3"/>
    <dataField name="Ganancia Bruta" fld="15" baseField="0" baseItem="2" numFmtId="3"/>
    <dataField name="Suma de Margen Bruto" fld="18" baseField="0" baseItem="0" numFmtId="9"/>
    <dataField name="Comision Vendedores" fld="16" baseField="0" baseItem="4" numFmtId="3"/>
  </dataFields>
  <formats count="6">
    <format dxfId="1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6E191-CFF6-4F67-AAE0-395DDBDB5C10}" name="TICKET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A15:B19" firstHeaderRow="1" firstDataRow="1" firstDataCol="1"/>
  <pivotFields count="23">
    <pivotField showAll="0"/>
    <pivotField numFmtId="14" showAll="0">
      <items count="17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>
      <items count="7">
        <item m="1" x="4"/>
        <item m="1" x="3"/>
        <item m="1" x="5"/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Ticket_Promedio" fld="13" subtotal="average" baseField="9" baseItem="0"/>
  </dataFields>
  <formats count="7"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9" type="button" dataOnly="0" labelOnly="1" outline="0" axis="axisRow" fieldPosition="0"/>
    </format>
    <format dxfId="172">
      <pivotArea dataOnly="0" labelOnly="1" fieldPosition="0">
        <references count="1">
          <reference field="9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C509D-F671-4D04-A4E6-2F812CE60DB3}" name="Producto vs Vendedor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chartFormat="9">
  <location ref="A46:C55" firstHeaderRow="1" firstDataRow="1" firstDataCol="2"/>
  <pivotFields count="23">
    <pivotField compact="0" outline="0" showAll="0" defaultSubtotal="0"/>
    <pivotField compact="0" numFmtId="14" outline="0" showAll="0" defaultSubtotal="0">
      <items count="16">
        <item x="4"/>
        <item m="1" x="9"/>
        <item x="7"/>
        <item m="1" x="10"/>
        <item m="1" x="11"/>
        <item m="1" x="12"/>
        <item m="1" x="13"/>
        <item m="1" x="14"/>
        <item m="1" x="15"/>
        <item x="0"/>
        <item x="1"/>
        <item x="2"/>
        <item x="3"/>
        <item x="5"/>
        <item x="6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1"/>
        <item m="1" x="4"/>
        <item x="0"/>
        <item m="1" x="3"/>
        <item x="2"/>
        <item m="1" x="5"/>
      </items>
    </pivotField>
    <pivotField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5"/>
  </rowFields>
  <rowItems count="9">
    <i>
      <x/>
      <x/>
    </i>
    <i r="1">
      <x v="1"/>
    </i>
    <i r="1">
      <x v="2"/>
    </i>
    <i>
      <x v="2"/>
      <x/>
    </i>
    <i r="1">
      <x v="1"/>
    </i>
    <i r="1">
      <x v="2"/>
    </i>
    <i>
      <x v="4"/>
      <x/>
    </i>
    <i r="1">
      <x v="1"/>
    </i>
    <i r="1">
      <x v="2"/>
    </i>
  </rowItems>
  <colItems count="1">
    <i/>
  </colItems>
  <dataFields count="1">
    <dataField name="Suma de Venta_Bruta" fld="13" baseField="5" baseItem="0" numFmtId="3"/>
  </dataFields>
  <formats count="10"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9" type="button" dataOnly="0" labelOnly="1" outline="0" axis="axisRow" fieldPosition="0"/>
    </format>
    <format dxfId="183">
      <pivotArea field="5" type="button" dataOnly="0" labelOnly="1" outline="0" axis="axisRow" fieldPosition="1"/>
    </format>
    <format dxfId="182">
      <pivotArea dataOnly="0" labelOnly="1" outline="0" fieldPosition="0">
        <references count="1">
          <reference field="9" count="0"/>
        </references>
      </pivotArea>
    </format>
    <format dxfId="181">
      <pivotArea dataOnly="0" labelOnly="1" outline="0" fieldPosition="0">
        <references count="2">
          <reference field="5" count="0"/>
          <reference field="9" count="1" selected="0">
            <x v="0"/>
          </reference>
        </references>
      </pivotArea>
    </format>
    <format dxfId="180">
      <pivotArea dataOnly="0" labelOnly="1" outline="0" fieldPosition="0">
        <references count="2">
          <reference field="5" count="0"/>
          <reference field="9" count="1" selected="0">
            <x v="2"/>
          </reference>
        </references>
      </pivotArea>
    </format>
    <format dxfId="179">
      <pivotArea dataOnly="0" labelOnly="1" outline="0" fieldPosition="0">
        <references count="2">
          <reference field="5" count="0"/>
          <reference field="9" count="1" selected="0">
            <x v="4"/>
          </reference>
        </references>
      </pivotArea>
    </format>
    <format dxfId="178">
      <pivotArea dataOnly="0" labelOnly="1" outline="0" axis="axisValues" fieldPosition="0"/>
    </format>
    <format dxfId="177">
      <pivotArea dataOnly="0" labelOnly="1" outline="0" axis="axisValues" fieldPosition="0"/>
    </format>
  </formats>
  <chartFormats count="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2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0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2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4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EB79D-9A23-40DE-AF5B-9B01F89335DC}" name="RANKING VENDEDOR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A31:C35" firstHeaderRow="0" firstDataRow="1" firstDataCol="1"/>
  <pivotFields count="23">
    <pivotField dataField="1" showAll="0"/>
    <pivotField numFmtId="14" showAll="0">
      <items count="17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7">
        <item m="1" x="4"/>
        <item m="1" x="3"/>
        <item m="1" x="5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4"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s" fld="13" baseField="9" baseItem="3" numFmtId="3"/>
    <dataField name="Num. Ventas" fld="0" subtotal="count" baseField="9" baseItem="3"/>
  </dataFields>
  <formats count="8"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9" type="button" dataOnly="0" labelOnly="1" outline="0" axis="axisRow" fieldPosition="0"/>
    </format>
    <format dxfId="191">
      <pivotArea dataOnly="0" labelOnly="1" fieldPosition="0">
        <references count="1">
          <reference field="9" count="0"/>
        </references>
      </pivotArea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0FB32-576F-4823-AE5B-80B12497EDEE}" name="RANKIG PRODUCT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A23:C27" firstHeaderRow="0" firstDataRow="1" firstDataCol="1"/>
  <pivotFields count="23">
    <pivotField showAll="0"/>
    <pivotField numFmtId="14" showAll="0">
      <items count="17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  <item t="default"/>
      </items>
    </pivotField>
    <pivotField showAll="0"/>
    <pivotField showAll="0"/>
    <pivotField dataField="1"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1"/>
        <item m="1" x="4"/>
        <item x="0"/>
        <item m="1" x="3"/>
        <item x="2"/>
        <item m="1"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Ventas" fld="13" baseField="5" baseItem="2"/>
    <dataField name="Cant." fld="4" baseField="0" baseItem="0"/>
  </dataFields>
  <formats count="8">
    <format dxfId="2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5" type="button" dataOnly="0" labelOnly="1" outline="0" axis="axisRow" fieldPosition="0"/>
    </format>
    <format dxfId="197">
      <pivotArea dataOnly="0" labelOnly="1" fieldPosition="0">
        <references count="1">
          <reference field="5" count="0"/>
        </references>
      </pivotArea>
    </format>
    <format dxfId="196">
      <pivotArea dataOnly="0" labelOnly="1" grandRow="1" outline="0" fieldPosition="0"/>
    </format>
    <format dxfId="1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41A0E-17C9-4357-861A-F59319045821}" name="Metas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chartFormat="5">
  <location ref="A39:B42" firstHeaderRow="1" firstDataRow="1" firstDataCol="1"/>
  <pivotFields count="23">
    <pivotField compact="0" outline="0" showAll="0" defaultSubtotal="0"/>
    <pivotField compact="0" numFmtId="14" outline="0" showAll="0" defaultSubtotal="0">
      <items count="16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2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4"/>
        <item m="1" x="3"/>
        <item m="1" x="5"/>
        <item x="0"/>
        <item x="1"/>
        <item x="2"/>
      </items>
    </pivotField>
    <pivotField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dragToRow="0" dragToCol="0" dragToPage="0" showAll="0" defaultSubtotal="0"/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3">
    <i>
      <x v="3"/>
    </i>
    <i>
      <x v="4"/>
    </i>
    <i>
      <x v="5"/>
    </i>
  </rowItems>
  <colItems count="1">
    <i/>
  </colItems>
  <dataFields count="1">
    <dataField name="Suma de cumplimiento_meta" fld="17" baseField="20" baseItem="1" numFmtId="9"/>
  </dataFields>
  <formats count="7"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9" type="button" dataOnly="0" labelOnly="1" outline="0" axis="axisRow" fieldPosition="0"/>
    </format>
    <format dxfId="206">
      <pivotArea field="20" type="button" dataOnly="0" labelOnly="1" outline="0"/>
    </format>
    <format dxfId="205">
      <pivotArea dataOnly="0" labelOnly="1" outline="0" fieldPosition="0">
        <references count="1">
          <reference field="9" count="0"/>
        </references>
      </pivotArea>
    </format>
    <format dxfId="204">
      <pivotArea dataOnly="0" labelOnly="1" outline="0" axis="axisValues" fieldPosition="0"/>
    </format>
    <format dxfId="203">
      <pivotArea dataOnly="0" labelOnly="1" outline="0" axis="axisValues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32545-5D8B-40C4-8034-09C8B0A7D508}" name="Resumen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Regiones">
  <location ref="E16:I20" firstHeaderRow="0" firstDataRow="1" firstDataCol="1"/>
  <pivotFields count="23">
    <pivotField showAll="0"/>
    <pivotField numFmtId="14" showAll="0">
      <items count="17">
        <item x="4"/>
        <item m="1" x="9"/>
        <item m="1" x="10"/>
        <item m="1" x="11"/>
        <item m="1" x="13"/>
        <item m="1" x="14"/>
        <item m="1" x="15"/>
        <item x="7"/>
        <item m="1" x="12"/>
        <item x="0"/>
        <item x="1"/>
        <item x="2"/>
        <item x="3"/>
        <item x="5"/>
        <item x="6"/>
        <item x="8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7">
        <item x="1"/>
        <item m="1" x="4"/>
        <item x="0"/>
        <item m="1" x="3"/>
        <item x="2"/>
        <item m="1"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Venta_Bruta" fld="13" baseField="0" baseItem="0" numFmtId="3"/>
    <dataField name="Costo de Compra" fld="14" baseField="0" baseItem="0" numFmtId="3"/>
    <dataField name="Ganancia Bruta" fld="15" baseField="0" baseItem="0" numFmtId="3"/>
    <dataField name="Suma de Margen Bruto" fld="18" baseField="10" baseItem="0" numFmtId="9"/>
  </dataFields>
  <formats count="17">
    <format dxfId="156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4">
      <pivotArea field="10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53">
      <pivotArea field="10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1">
      <pivotArea collapsedLevelsAreSubtotals="1" fieldPosition="0">
        <references count="1">
          <reference field="10" count="0"/>
        </references>
      </pivotArea>
    </format>
    <format dxfId="1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0" type="button" dataOnly="0" labelOnly="1" outline="0" axis="axisRow" fieldPosition="0"/>
    </format>
    <format dxfId="146">
      <pivotArea dataOnly="0" labelOnly="1" fieldPosition="0">
        <references count="1">
          <reference field="10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3">
      <pivotArea collapsedLevelsAreSubtotals="1" fieldPosition="0">
        <references count="1">
          <reference field="10" count="0"/>
        </references>
      </pivotArea>
    </format>
    <format dxfId="1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1">
      <pivotArea grandRow="1" outline="0" collapsedLevelsAreSubtotals="1" fieldPosition="0"/>
    </format>
    <format dxfId="14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1505D005-1B48-44C0-9D79-9C9B24BF3BFC}" autoFormatId="16" applyNumberFormats="0" applyBorderFormats="0" applyFontFormats="0" applyPatternFormats="0" applyAlignmentFormats="0" applyWidthHeightFormats="0">
  <queryTableRefresh nextId="3">
    <queryTableFields count="2">
      <queryTableField id="1" name="parametro" tableColumnId="1"/>
      <queryTableField id="2" name="val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AED42873-3A79-4CFB-866C-422616FE213D}" autoFormatId="16" applyNumberFormats="0" applyBorderFormats="0" applyFontFormats="0" applyPatternFormats="0" applyAlignmentFormats="0" applyWidthHeightFormats="0">
  <queryTableRefresh nextId="5">
    <queryTableFields count="3">
      <queryTableField id="1" name="id_costo" tableColumnId="1"/>
      <queryTableField id="2" name="concepto" tableColumnId="2"/>
      <queryTableField id="3" name="valor_trimestr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D86692F-6314-4376-A3A8-C8BCD3918881}" autoFormatId="16" applyNumberFormats="0" applyBorderFormats="0" applyFontFormats="0" applyPatternFormats="0" applyAlignmentFormats="0" applyWidthHeightFormats="0">
  <queryTableRefresh nextId="22">
    <queryTableFields count="18">
      <queryTableField id="1" name="id_venta" tableColumnId="1"/>
      <queryTableField id="2" name="fecha" tableColumnId="2"/>
      <queryTableField id="3" name="id_producto" tableColumnId="3"/>
      <queryTableField id="4" name="id_vendedor" tableColumnId="4"/>
      <queryTableField id="5" name="cantidad" tableColumnId="5"/>
      <queryTableField id="6" name="nombre_producto" tableColumnId="6"/>
      <queryTableField id="7" name="categoria" tableColumnId="7"/>
      <queryTableField id="8" name="precio_venta" tableColumnId="8"/>
      <queryTableField id="9" name="costo_compra" tableColumnId="9"/>
      <queryTableField id="10" name="nombre_vendedor" tableColumnId="10"/>
      <queryTableField id="11" name="region" tableColumnId="11"/>
      <queryTableField id="12" name="porcentaje_comision" tableColumnId="12"/>
      <queryTableField id="18" name="meta" tableColumnId="18"/>
      <queryTableField id="13" name="Venta_Bruta" tableColumnId="13"/>
      <queryTableField id="14" name="Costo_Compra_Total" tableColumnId="14"/>
      <queryTableField id="15" name="Ganancia_Bruta" tableColumnId="15"/>
      <queryTableField id="17" name="Comision" tableColumnId="17"/>
      <queryTableField id="21" name="cumplimiento_meta" tableColumnId="2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producto" xr10:uid="{A1952174-584F-4D28-9E3F-7BA4ACFA6765}" sourceName="nombre_producto">
  <pivotTables>
    <pivotTable tabId="2" name="VENTAS POR REGION"/>
    <pivotTable tabId="2" name="KPIS"/>
    <pivotTable tabId="2" name="Producto vs Vendedor"/>
    <pivotTable tabId="2" name="RANKIG PRODUCTOS"/>
    <pivotTable tabId="2" name="RANKING VENDEDOR"/>
    <pivotTable tabId="2" name="Metas"/>
    <pivotTable tabId="2" name="TICKET"/>
    <pivotTable tabId="7" name="Resumen"/>
  </pivotTables>
  <data>
    <tabular pivotCacheId="458833721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49A15680-88A0-45DC-8880-FAD1529D0E30}" sourceName="region">
  <pivotTables>
    <pivotTable tabId="2" name="VENTAS POR REGION"/>
    <pivotTable tabId="2" name="KPIS"/>
    <pivotTable tabId="2" name="Metas"/>
    <pivotTable tabId="2" name="Producto vs Vendedor"/>
    <pivotTable tabId="2" name="RANKIG PRODUCTOS"/>
    <pivotTable tabId="2" name="RANKING VENDEDOR"/>
    <pivotTable tabId="2" name="TICKET"/>
    <pivotTable tabId="7" name="Resumen"/>
  </pivotTables>
  <data>
    <tabular pivotCacheId="45883372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vendedor" xr10:uid="{DF14D1B8-9898-4747-8E62-BB31619A10CC}" sourceName="nombre_vendedor">
  <pivotTables>
    <pivotTable tabId="2" name="Producto vs Vendedor"/>
    <pivotTable tabId="2" name="KPIS"/>
    <pivotTable tabId="2" name="Metas"/>
    <pivotTable tabId="2" name="RANKIG PRODUCTOS"/>
    <pivotTable tabId="2" name="RANKING VENDEDOR"/>
    <pivotTable tabId="2" name="TICKET"/>
    <pivotTable tabId="2" name="VENTAS POR REGION"/>
    <pivotTable tabId="7" name="Resumen"/>
  </pivotTables>
  <data>
    <tabular pivotCacheId="458833721">
      <items count="6">
        <i x="1" s="1"/>
        <i x="0" s="1"/>
        <i x="2" s="1"/>
        <i x="4" s="1" nd="1"/>
        <i x="3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_producto" xr10:uid="{D1DCDCB8-136B-4BC2-987B-4DD7AD59D485}" cache="SegmentaciónDeDatos_nombre_producto" caption="nombre_producto" rowHeight="241300"/>
  <slicer name="region" xr10:uid="{2EAF6D57-1F2C-4FAC-BF5D-C0BA67C3BDFE}" cache="SegmentaciónDeDatos_region" caption="region" rowHeight="241300"/>
  <slicer name="nombre_vendedor" xr10:uid="{585295A3-C770-41AF-AAD8-A71050E00D8B}" cache="SegmentaciónDeDatos_nombre_vendedor" caption="nombre_vendedor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257E53-FAED-4B80-9B8B-BEA5DB37E993}" name="parametros_financieros" displayName="parametros_financieros" ref="A1:B2" tableType="queryTable" totalsRowShown="0">
  <autoFilter ref="A1:B2" xr:uid="{5C257E53-FAED-4B80-9B8B-BEA5DB37E993}"/>
  <tableColumns count="2">
    <tableColumn id="1" xr3:uid="{3D16FB37-8D0D-4861-ABED-E9B488CA9F40}" uniqueName="1" name="parametro" queryTableFieldId="1" dataDxfId="223"/>
    <tableColumn id="2" xr3:uid="{DF408266-C41E-468D-810C-193302A75A6F}" uniqueName="2" name="valor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5F4B2-F10C-4962-AF95-3AB1E78BFFF0}" name="costos_fijos" displayName="costos_fijos" ref="A1:C5" tableType="queryTable" totalsRowCount="1">
  <autoFilter ref="A1:C4" xr:uid="{79C5F4B2-F10C-4962-AF95-3AB1E78BFFF0}"/>
  <tableColumns count="3">
    <tableColumn id="1" xr3:uid="{7045B39A-4679-4A06-A906-F70F2D7B6767}" uniqueName="1" name="id_costo" queryTableFieldId="1" dataDxfId="222"/>
    <tableColumn id="2" xr3:uid="{544CBBCA-121F-44F5-B8F7-AFEA58D0F4AD}" uniqueName="2" name="concepto" totalsRowLabel="Total_Trimestral" queryTableFieldId="2" dataDxfId="221"/>
    <tableColumn id="3" xr3:uid="{A99304F1-44AB-4A9B-A915-775E139BF5CF}" uniqueName="3" name="valor_trimestral" totalsRowFunction="sum" queryTableFieldId="3" totalsRowDxfId="2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30BC8-6287-4504-AFC9-97CD7FA512B2}" name="Ventas_Consolidadas" displayName="Ventas_Consolidadas" ref="A1:R11" tableType="queryTable" totalsRowCount="1">
  <autoFilter ref="A1:R10" xr:uid="{98030BC8-6287-4504-AFC9-97CD7FA512B2}"/>
  <sortState xmlns:xlrd2="http://schemas.microsoft.com/office/spreadsheetml/2017/richdata2" ref="A2:R10">
    <sortCondition ref="B1:B10"/>
  </sortState>
  <tableColumns count="18">
    <tableColumn id="1" xr3:uid="{5144A315-5A4B-4E58-8A05-FE7C3CD4506F}" uniqueName="1" name="id_venta" queryTableFieldId="1"/>
    <tableColumn id="2" xr3:uid="{367D9B9B-62DC-454C-BA05-38E6F058D86E}" uniqueName="2" name="fecha" queryTableFieldId="2" dataDxfId="219" totalsRowDxfId="218"/>
    <tableColumn id="3" xr3:uid="{1F719302-6014-4483-B0A1-9AA5F2981A3A}" uniqueName="3" name="id_producto" queryTableFieldId="3" dataDxfId="217"/>
    <tableColumn id="4" xr3:uid="{A35C761E-1441-4212-9348-4D9BB9C4B40E}" uniqueName="4" name="id_vendedor" queryTableFieldId="4" dataDxfId="216"/>
    <tableColumn id="5" xr3:uid="{103E8BC0-DBB6-4F18-9F2A-363790706B06}" uniqueName="5" name="cantidad" queryTableFieldId="5"/>
    <tableColumn id="6" xr3:uid="{EA9C2BA5-813E-4B36-83D6-0762BC605A78}" uniqueName="6" name="nombre_producto" queryTableFieldId="6" dataDxfId="215"/>
    <tableColumn id="7" xr3:uid="{3DA5DF18-8773-41F4-B98F-E8127103DC99}" uniqueName="7" name="categoria" queryTableFieldId="7" dataDxfId="214"/>
    <tableColumn id="8" xr3:uid="{91496CB1-CA97-4149-9E00-9D37DDDF23C3}" uniqueName="8" name="precio_venta" queryTableFieldId="8" totalsRowDxfId="213"/>
    <tableColumn id="9" xr3:uid="{F6FE933F-7356-4683-AC73-EF4E5396FE76}" uniqueName="9" name="costo_compra" queryTableFieldId="9"/>
    <tableColumn id="10" xr3:uid="{C6840D32-9930-46AB-B7CF-666A0A2C1553}" uniqueName="10" name="nombre_vendedor" queryTableFieldId="10" dataDxfId="212"/>
    <tableColumn id="11" xr3:uid="{96504676-9A10-4D4D-B667-718474EFB558}" uniqueName="11" name="region" queryTableFieldId="11" dataDxfId="211"/>
    <tableColumn id="12" xr3:uid="{AF7B400A-FDE9-44AD-8E56-65D3CED097FE}" uniqueName="12" name="porcentaje_comision" queryTableFieldId="12"/>
    <tableColumn id="18" xr3:uid="{3F44046D-6140-422C-A4C8-923313C42A7B}" uniqueName="18" name="meta" queryTableFieldId="18"/>
    <tableColumn id="13" xr3:uid="{D0A3EF7D-64E0-4666-B81D-DA3515CB759F}" uniqueName="13" name="Venta_Bruta" queryTableFieldId="13"/>
    <tableColumn id="14" xr3:uid="{62F23C51-377C-4083-9C71-3CF6A90A07BB}" uniqueName="14" name="Costo_Compra_Total" queryTableFieldId="14"/>
    <tableColumn id="15" xr3:uid="{72E22238-4C6D-4242-8605-169B619CE773}" uniqueName="15" name="Ganancia_Bruta" queryTableFieldId="15" totalsRowDxfId="210"/>
    <tableColumn id="17" xr3:uid="{33EB8E69-3C9E-4D86-9625-E242A8424500}" uniqueName="17" name="Comision" queryTableFieldId="17"/>
    <tableColumn id="20" xr3:uid="{CC5D7AD4-AE9D-4D75-B4B8-0A3B3568D5EB}" uniqueName="20" name="cumplimiento_meta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9095-E7C8-41DB-9CDB-08D3B074406E}">
  <dimension ref="A1:B2"/>
  <sheetViews>
    <sheetView workbookViewId="0">
      <selection sqref="A1:B2"/>
    </sheetView>
  </sheetViews>
  <sheetFormatPr baseColWidth="10" defaultRowHeight="14.5" x14ac:dyDescent="0.35"/>
  <cols>
    <col min="1" max="1" width="18.6328125" bestFit="1" customWidth="1"/>
    <col min="2" max="2" width="7.26953125" bestFit="1" customWidth="1"/>
  </cols>
  <sheetData>
    <row r="1" spans="1:2" x14ac:dyDescent="0.35">
      <c r="A1" t="s">
        <v>65</v>
      </c>
      <c r="B1" t="s">
        <v>66</v>
      </c>
    </row>
    <row r="2" spans="1:2" x14ac:dyDescent="0.35">
      <c r="A2" t="s">
        <v>67</v>
      </c>
      <c r="B2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D049-9C02-490F-BBE2-B56AB103327A}">
  <dimension ref="A1:C6"/>
  <sheetViews>
    <sheetView workbookViewId="0">
      <selection activeCell="C6" sqref="A1:C6"/>
    </sheetView>
  </sheetViews>
  <sheetFormatPr baseColWidth="10" defaultRowHeight="14.5" x14ac:dyDescent="0.35"/>
  <cols>
    <col min="1" max="1" width="10.1796875" bestFit="1" customWidth="1"/>
    <col min="2" max="2" width="20" bestFit="1" customWidth="1"/>
    <col min="3" max="3" width="16.54296875" bestFit="1" customWidth="1"/>
    <col min="4" max="4" width="16.36328125" bestFit="1" customWidth="1"/>
  </cols>
  <sheetData>
    <row r="1" spans="1:3" x14ac:dyDescent="0.35">
      <c r="A1" t="s">
        <v>31</v>
      </c>
      <c r="B1" t="s">
        <v>32</v>
      </c>
      <c r="C1" t="s">
        <v>33</v>
      </c>
    </row>
    <row r="2" spans="1:3" x14ac:dyDescent="0.35">
      <c r="A2" t="s">
        <v>34</v>
      </c>
      <c r="B2" t="s">
        <v>35</v>
      </c>
      <c r="C2">
        <v>12000000</v>
      </c>
    </row>
    <row r="3" spans="1:3" x14ac:dyDescent="0.35">
      <c r="A3" t="s">
        <v>36</v>
      </c>
      <c r="B3" t="s">
        <v>37</v>
      </c>
      <c r="C3">
        <v>12000000</v>
      </c>
    </row>
    <row r="4" spans="1:3" x14ac:dyDescent="0.35">
      <c r="A4" t="s">
        <v>38</v>
      </c>
      <c r="B4" t="s">
        <v>39</v>
      </c>
      <c r="C4">
        <v>6000000</v>
      </c>
    </row>
    <row r="5" spans="1:3" ht="15" thickBot="1" x14ac:dyDescent="0.4">
      <c r="B5" t="s">
        <v>60</v>
      </c>
      <c r="C5" s="3">
        <f>SUBTOTAL(109,costos_fijos[valor_trimestral])</f>
        <v>30000000</v>
      </c>
    </row>
    <row r="6" spans="1:3" ht="15" thickTop="1" x14ac:dyDescent="0.35">
      <c r="B6" s="44" t="s">
        <v>82</v>
      </c>
      <c r="C6" s="57">
        <f>+costos_fijos[[#Totals],[valor_trimestral]]/3</f>
        <v>10000000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sqref="A1:R11"/>
    </sheetView>
  </sheetViews>
  <sheetFormatPr baseColWidth="10" defaultColWidth="8.7265625" defaultRowHeight="14.5" x14ac:dyDescent="0.35"/>
  <cols>
    <col min="1" max="1" width="10.36328125" bestFit="1" customWidth="1"/>
    <col min="2" max="2" width="10.453125" bestFit="1" customWidth="1"/>
    <col min="3" max="3" width="13.36328125" bestFit="1" customWidth="1"/>
    <col min="4" max="4" width="13.6328125" bestFit="1" customWidth="1"/>
    <col min="5" max="5" width="10.36328125" bestFit="1" customWidth="1"/>
    <col min="6" max="6" width="18.54296875" bestFit="1" customWidth="1"/>
    <col min="7" max="7" width="10.81640625" bestFit="1" customWidth="1"/>
    <col min="8" max="8" width="14" bestFit="1" customWidth="1"/>
    <col min="9" max="9" width="15" bestFit="1" customWidth="1"/>
    <col min="10" max="10" width="18.81640625" bestFit="1" customWidth="1"/>
    <col min="11" max="11" width="8.36328125" bestFit="1" customWidth="1"/>
    <col min="12" max="12" width="20.7265625" bestFit="1" customWidth="1"/>
    <col min="13" max="13" width="9.81640625" bestFit="1" customWidth="1"/>
    <col min="14" max="14" width="13.7265625" bestFit="1" customWidth="1"/>
    <col min="15" max="15" width="20.90625" bestFit="1" customWidth="1"/>
    <col min="16" max="16" width="16.453125" style="2" bestFit="1" customWidth="1"/>
    <col min="17" max="17" width="10.81640625" bestFit="1" customWidth="1"/>
    <col min="18" max="18" width="20.08984375" bestFit="1" customWidth="1"/>
    <col min="19" max="19" width="10.81640625" customWidth="1"/>
    <col min="20" max="20" width="11.3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  <c r="N1" t="s">
        <v>27</v>
      </c>
      <c r="O1" t="s">
        <v>28</v>
      </c>
      <c r="P1" t="s">
        <v>29</v>
      </c>
      <c r="Q1" t="s">
        <v>30</v>
      </c>
      <c r="R1" t="s">
        <v>73</v>
      </c>
    </row>
    <row r="2" spans="1:18" x14ac:dyDescent="0.35">
      <c r="A2">
        <v>1</v>
      </c>
      <c r="B2" s="1">
        <v>45660</v>
      </c>
      <c r="C2" t="s">
        <v>12</v>
      </c>
      <c r="D2" t="s">
        <v>13</v>
      </c>
      <c r="E2">
        <v>20</v>
      </c>
      <c r="F2" t="s">
        <v>14</v>
      </c>
      <c r="G2" t="s">
        <v>15</v>
      </c>
      <c r="H2">
        <v>3000000</v>
      </c>
      <c r="I2">
        <v>2200000</v>
      </c>
      <c r="J2" t="s">
        <v>75</v>
      </c>
      <c r="K2" t="s">
        <v>16</v>
      </c>
      <c r="L2">
        <v>7.0000000000000007E-2</v>
      </c>
      <c r="M2">
        <v>110000000</v>
      </c>
      <c r="N2">
        <v>60000000</v>
      </c>
      <c r="O2">
        <v>44000000</v>
      </c>
      <c r="P2">
        <v>16000000</v>
      </c>
      <c r="Q2">
        <v>4200000</v>
      </c>
      <c r="R2">
        <v>0.54545454545454541</v>
      </c>
    </row>
    <row r="3" spans="1:18" x14ac:dyDescent="0.35">
      <c r="A3">
        <v>4</v>
      </c>
      <c r="B3" s="1">
        <v>45663</v>
      </c>
      <c r="C3" t="s">
        <v>17</v>
      </c>
      <c r="D3" t="s">
        <v>18</v>
      </c>
      <c r="E3">
        <v>30</v>
      </c>
      <c r="F3" t="s">
        <v>19</v>
      </c>
      <c r="G3" t="s">
        <v>20</v>
      </c>
      <c r="H3">
        <v>1500000</v>
      </c>
      <c r="I3">
        <v>1050000</v>
      </c>
      <c r="J3" t="s">
        <v>76</v>
      </c>
      <c r="K3" t="s">
        <v>21</v>
      </c>
      <c r="L3">
        <v>0.06</v>
      </c>
      <c r="M3">
        <v>110000000</v>
      </c>
      <c r="N3">
        <v>45000000</v>
      </c>
      <c r="O3">
        <v>31500000</v>
      </c>
      <c r="P3">
        <v>13500000</v>
      </c>
      <c r="Q3">
        <v>2700000</v>
      </c>
      <c r="R3">
        <v>0.40909090909090912</v>
      </c>
    </row>
    <row r="4" spans="1:18" x14ac:dyDescent="0.35">
      <c r="A4">
        <v>7</v>
      </c>
      <c r="B4" s="1">
        <v>45666</v>
      </c>
      <c r="C4" t="s">
        <v>22</v>
      </c>
      <c r="D4" t="s">
        <v>23</v>
      </c>
      <c r="E4">
        <v>21</v>
      </c>
      <c r="F4" t="s">
        <v>24</v>
      </c>
      <c r="G4" t="s">
        <v>25</v>
      </c>
      <c r="H4">
        <v>200000</v>
      </c>
      <c r="I4">
        <v>120000</v>
      </c>
      <c r="J4" t="s">
        <v>77</v>
      </c>
      <c r="K4" t="s">
        <v>26</v>
      </c>
      <c r="L4">
        <v>0.05</v>
      </c>
      <c r="M4">
        <v>110000000</v>
      </c>
      <c r="N4">
        <v>4200000</v>
      </c>
      <c r="O4">
        <v>2520000</v>
      </c>
      <c r="P4">
        <v>1680000</v>
      </c>
      <c r="Q4">
        <v>210000</v>
      </c>
      <c r="R4">
        <v>3.8181818181818185E-2</v>
      </c>
    </row>
    <row r="5" spans="1:18" x14ac:dyDescent="0.35">
      <c r="A5">
        <v>8</v>
      </c>
      <c r="B5" s="1">
        <v>45669</v>
      </c>
      <c r="C5" t="s">
        <v>17</v>
      </c>
      <c r="D5" t="s">
        <v>23</v>
      </c>
      <c r="E5">
        <v>15</v>
      </c>
      <c r="F5" t="s">
        <v>19</v>
      </c>
      <c r="G5" t="s">
        <v>20</v>
      </c>
      <c r="H5">
        <v>1500000</v>
      </c>
      <c r="I5">
        <v>1050000</v>
      </c>
      <c r="J5" t="s">
        <v>77</v>
      </c>
      <c r="K5" t="s">
        <v>26</v>
      </c>
      <c r="L5">
        <v>0.05</v>
      </c>
      <c r="M5">
        <v>110000000</v>
      </c>
      <c r="N5">
        <v>22500000</v>
      </c>
      <c r="O5">
        <v>15750000</v>
      </c>
      <c r="P5">
        <v>6750000</v>
      </c>
      <c r="Q5">
        <v>1125000</v>
      </c>
      <c r="R5">
        <v>0.20454545454545456</v>
      </c>
    </row>
    <row r="6" spans="1:18" x14ac:dyDescent="0.35">
      <c r="A6">
        <v>5</v>
      </c>
      <c r="B6" s="1">
        <v>45672</v>
      </c>
      <c r="C6" t="s">
        <v>12</v>
      </c>
      <c r="D6" t="s">
        <v>18</v>
      </c>
      <c r="E6">
        <v>10</v>
      </c>
      <c r="F6" t="s">
        <v>14</v>
      </c>
      <c r="G6" t="s">
        <v>15</v>
      </c>
      <c r="H6">
        <v>3000000</v>
      </c>
      <c r="I6">
        <v>2200000</v>
      </c>
      <c r="J6" t="s">
        <v>76</v>
      </c>
      <c r="K6" t="s">
        <v>21</v>
      </c>
      <c r="L6">
        <v>0.06</v>
      </c>
      <c r="M6">
        <v>110000000</v>
      </c>
      <c r="N6">
        <v>30000000</v>
      </c>
      <c r="O6">
        <v>22000000</v>
      </c>
      <c r="P6">
        <v>8000000</v>
      </c>
      <c r="Q6">
        <v>1800000</v>
      </c>
      <c r="R6">
        <v>0.27272727272727271</v>
      </c>
    </row>
    <row r="7" spans="1:18" x14ac:dyDescent="0.35">
      <c r="A7">
        <v>2</v>
      </c>
      <c r="B7" s="1">
        <v>45675</v>
      </c>
      <c r="C7" t="s">
        <v>22</v>
      </c>
      <c r="D7" t="s">
        <v>13</v>
      </c>
      <c r="E7">
        <v>35</v>
      </c>
      <c r="F7" t="s">
        <v>24</v>
      </c>
      <c r="G7" t="s">
        <v>25</v>
      </c>
      <c r="H7">
        <v>200000</v>
      </c>
      <c r="I7">
        <v>120000</v>
      </c>
      <c r="J7" t="s">
        <v>75</v>
      </c>
      <c r="K7" t="s">
        <v>16</v>
      </c>
      <c r="L7">
        <v>7.0000000000000007E-2</v>
      </c>
      <c r="M7">
        <v>110000000</v>
      </c>
      <c r="N7">
        <v>7000000</v>
      </c>
      <c r="O7">
        <v>4200000</v>
      </c>
      <c r="P7">
        <v>2800000</v>
      </c>
      <c r="Q7">
        <v>490000</v>
      </c>
      <c r="R7">
        <v>6.363636363636363E-2</v>
      </c>
    </row>
    <row r="8" spans="1:18" x14ac:dyDescent="0.35">
      <c r="A8">
        <v>3</v>
      </c>
      <c r="B8" s="1">
        <v>45678</v>
      </c>
      <c r="C8" t="s">
        <v>17</v>
      </c>
      <c r="D8" t="s">
        <v>13</v>
      </c>
      <c r="E8">
        <v>50</v>
      </c>
      <c r="F8" t="s">
        <v>19</v>
      </c>
      <c r="G8" t="s">
        <v>20</v>
      </c>
      <c r="H8">
        <v>1500000</v>
      </c>
      <c r="I8">
        <v>1050000</v>
      </c>
      <c r="J8" t="s">
        <v>75</v>
      </c>
      <c r="K8" t="s">
        <v>16</v>
      </c>
      <c r="L8">
        <v>7.0000000000000007E-2</v>
      </c>
      <c r="M8">
        <v>110000000</v>
      </c>
      <c r="N8">
        <v>75000000</v>
      </c>
      <c r="O8">
        <v>52500000</v>
      </c>
      <c r="P8">
        <v>22500000</v>
      </c>
      <c r="Q8">
        <v>5250000</v>
      </c>
      <c r="R8">
        <v>0.68181818181818177</v>
      </c>
    </row>
    <row r="9" spans="1:18" x14ac:dyDescent="0.35">
      <c r="A9">
        <v>6</v>
      </c>
      <c r="B9" s="1">
        <v>45681</v>
      </c>
      <c r="C9" t="s">
        <v>22</v>
      </c>
      <c r="D9" t="s">
        <v>18</v>
      </c>
      <c r="E9">
        <v>120</v>
      </c>
      <c r="F9" t="s">
        <v>24</v>
      </c>
      <c r="G9" t="s">
        <v>25</v>
      </c>
      <c r="H9">
        <v>200000</v>
      </c>
      <c r="I9">
        <v>120000</v>
      </c>
      <c r="J9" t="s">
        <v>76</v>
      </c>
      <c r="K9" t="s">
        <v>21</v>
      </c>
      <c r="L9">
        <v>0.06</v>
      </c>
      <c r="M9">
        <v>110000000</v>
      </c>
      <c r="N9">
        <v>24000000</v>
      </c>
      <c r="O9">
        <v>14400000</v>
      </c>
      <c r="P9">
        <v>9600000</v>
      </c>
      <c r="Q9">
        <v>1440000</v>
      </c>
      <c r="R9">
        <v>0.21818181818181817</v>
      </c>
    </row>
    <row r="10" spans="1:18" x14ac:dyDescent="0.35">
      <c r="A10">
        <v>9</v>
      </c>
      <c r="B10" s="1">
        <v>45684</v>
      </c>
      <c r="C10" t="s">
        <v>12</v>
      </c>
      <c r="D10" t="s">
        <v>23</v>
      </c>
      <c r="E10">
        <v>10</v>
      </c>
      <c r="F10" t="s">
        <v>14</v>
      </c>
      <c r="G10" t="s">
        <v>15</v>
      </c>
      <c r="H10">
        <v>3000000</v>
      </c>
      <c r="I10">
        <v>2200000</v>
      </c>
      <c r="J10" t="s">
        <v>77</v>
      </c>
      <c r="K10" t="s">
        <v>26</v>
      </c>
      <c r="L10">
        <v>0.05</v>
      </c>
      <c r="M10">
        <v>110000000</v>
      </c>
      <c r="N10">
        <v>30000000</v>
      </c>
      <c r="O10">
        <v>22000000</v>
      </c>
      <c r="P10">
        <v>8000000</v>
      </c>
      <c r="Q10">
        <v>1500000</v>
      </c>
      <c r="R10">
        <v>0.27272727272727271</v>
      </c>
    </row>
    <row r="11" spans="1:18" x14ac:dyDescent="0.35">
      <c r="B11" s="1"/>
      <c r="H11" s="3"/>
      <c r="P11" s="5"/>
    </row>
    <row r="12" spans="1:18" x14ac:dyDescent="0.35">
      <c r="N12">
        <f>+N4+N7+N9</f>
        <v>35200000</v>
      </c>
    </row>
    <row r="13" spans="1:18" x14ac:dyDescent="0.35">
      <c r="N13">
        <f>+N12/3</f>
        <v>11733333.333333334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4C9C-1E68-443F-ACA8-6D567B8D27C1}">
  <dimension ref="A1:J63"/>
  <sheetViews>
    <sheetView zoomScale="105" zoomScaleNormal="37" workbookViewId="0">
      <selection sqref="A1:C1"/>
    </sheetView>
  </sheetViews>
  <sheetFormatPr baseColWidth="10" defaultRowHeight="14.5" x14ac:dyDescent="0.35"/>
  <cols>
    <col min="1" max="1" width="16.54296875" bestFit="1" customWidth="1"/>
    <col min="2" max="2" width="38.26953125" customWidth="1"/>
    <col min="3" max="3" width="19.1796875" bestFit="1" customWidth="1"/>
    <col min="4" max="4" width="15.7265625" bestFit="1" customWidth="1"/>
    <col min="5" max="5" width="23.81640625" bestFit="1" customWidth="1"/>
    <col min="6" max="6" width="20.1796875" bestFit="1" customWidth="1"/>
    <col min="7" max="7" width="24" bestFit="1" customWidth="1"/>
    <col min="8" max="8" width="25.6328125" bestFit="1" customWidth="1"/>
    <col min="9" max="9" width="20.7265625" bestFit="1" customWidth="1"/>
    <col min="10" max="11" width="21" bestFit="1" customWidth="1"/>
    <col min="12" max="12" width="19.90625" bestFit="1" customWidth="1"/>
  </cols>
  <sheetData>
    <row r="1" spans="1:10" ht="18.5" x14ac:dyDescent="0.35">
      <c r="A1" s="63" t="s">
        <v>42</v>
      </c>
      <c r="B1" s="63"/>
      <c r="C1" s="63"/>
    </row>
    <row r="2" spans="1:10" s="24" customFormat="1" x14ac:dyDescent="0.35">
      <c r="A2" s="51" t="s">
        <v>48</v>
      </c>
      <c r="B2" s="51" t="s">
        <v>47</v>
      </c>
      <c r="C2" s="51" t="s">
        <v>49</v>
      </c>
      <c r="D2" s="51" t="s">
        <v>41</v>
      </c>
      <c r="E2" s="51" t="s">
        <v>50</v>
      </c>
      <c r="F2" s="46" t="s">
        <v>61</v>
      </c>
      <c r="G2" s="46" t="s">
        <v>62</v>
      </c>
      <c r="H2" s="46" t="s">
        <v>63</v>
      </c>
      <c r="I2" s="46" t="s">
        <v>64</v>
      </c>
      <c r="J2" s="46" t="s">
        <v>68</v>
      </c>
    </row>
    <row r="3" spans="1:10" x14ac:dyDescent="0.35">
      <c r="A3" s="47">
        <v>297700000</v>
      </c>
      <c r="B3" s="47">
        <v>208870000</v>
      </c>
      <c r="C3" s="47">
        <v>88830000</v>
      </c>
      <c r="D3" s="48">
        <v>0.29838763856231104</v>
      </c>
      <c r="E3" s="47">
        <v>18715000</v>
      </c>
      <c r="F3" s="47">
        <f>+E3+'costos_fijos'!C6</f>
        <v>28715000</v>
      </c>
      <c r="G3" s="47">
        <f>+C3-F3</f>
        <v>60115000</v>
      </c>
      <c r="H3" s="49">
        <f>+G3/A3</f>
        <v>0.20193147463889821</v>
      </c>
      <c r="I3" s="47" cm="1">
        <f t="array" ref="I3">+G3*(1-parametros_financieros[valor])</f>
        <v>42080500</v>
      </c>
      <c r="J3" s="49">
        <f>+I3/A3</f>
        <v>0.14135203224722875</v>
      </c>
    </row>
    <row r="6" spans="1:10" ht="21" x14ac:dyDescent="0.35">
      <c r="A6" s="63" t="s">
        <v>43</v>
      </c>
      <c r="B6" s="63"/>
      <c r="C6" s="4"/>
      <c r="E6" s="2"/>
    </row>
    <row r="7" spans="1:10" x14ac:dyDescent="0.35">
      <c r="A7" s="52" t="s">
        <v>44</v>
      </c>
      <c r="B7" s="51" t="s">
        <v>40</v>
      </c>
    </row>
    <row r="8" spans="1:10" x14ac:dyDescent="0.35">
      <c r="A8" s="53" t="s">
        <v>16</v>
      </c>
      <c r="B8" s="54">
        <v>0.47699025864964728</v>
      </c>
      <c r="D8" s="2"/>
    </row>
    <row r="9" spans="1:10" x14ac:dyDescent="0.35">
      <c r="A9" s="53" t="s">
        <v>26</v>
      </c>
      <c r="B9" s="54">
        <v>0.19046019482700705</v>
      </c>
    </row>
    <row r="10" spans="1:10" x14ac:dyDescent="0.35">
      <c r="A10" s="53" t="s">
        <v>21</v>
      </c>
      <c r="B10" s="54">
        <v>0.33254954652334567</v>
      </c>
    </row>
    <row r="11" spans="1:10" x14ac:dyDescent="0.35">
      <c r="A11" s="53" t="s">
        <v>45</v>
      </c>
      <c r="B11" s="54">
        <v>1</v>
      </c>
    </row>
    <row r="14" spans="1:10" ht="18.5" x14ac:dyDescent="0.35">
      <c r="A14" s="63" t="s">
        <v>51</v>
      </c>
      <c r="B14" s="63"/>
      <c r="C14" s="50"/>
    </row>
    <row r="15" spans="1:10" x14ac:dyDescent="0.35">
      <c r="A15" s="52" t="s">
        <v>44</v>
      </c>
      <c r="B15" s="51" t="s">
        <v>52</v>
      </c>
    </row>
    <row r="16" spans="1:10" x14ac:dyDescent="0.35">
      <c r="A16" s="53" t="s">
        <v>75</v>
      </c>
      <c r="B16" s="91">
        <v>47333333.333333336</v>
      </c>
      <c r="C16" s="3"/>
    </row>
    <row r="17" spans="1:3" x14ac:dyDescent="0.35">
      <c r="A17" s="53" t="s">
        <v>76</v>
      </c>
      <c r="B17" s="91">
        <v>33000000</v>
      </c>
    </row>
    <row r="18" spans="1:3" x14ac:dyDescent="0.35">
      <c r="A18" s="53" t="s">
        <v>77</v>
      </c>
      <c r="B18" s="91">
        <v>18900000</v>
      </c>
    </row>
    <row r="19" spans="1:3" x14ac:dyDescent="0.35">
      <c r="A19" s="53" t="s">
        <v>45</v>
      </c>
      <c r="B19" s="91">
        <v>33077777.777777776</v>
      </c>
    </row>
    <row r="22" spans="1:3" ht="18.5" x14ac:dyDescent="0.45">
      <c r="A22" s="61" t="s">
        <v>53</v>
      </c>
      <c r="B22" s="61"/>
      <c r="C22" s="61"/>
    </row>
    <row r="23" spans="1:3" x14ac:dyDescent="0.35">
      <c r="A23" s="52" t="s">
        <v>44</v>
      </c>
      <c r="B23" s="51" t="s">
        <v>78</v>
      </c>
      <c r="C23" s="51" t="s">
        <v>80</v>
      </c>
    </row>
    <row r="24" spans="1:3" x14ac:dyDescent="0.35">
      <c r="A24" s="53" t="s">
        <v>19</v>
      </c>
      <c r="B24" s="91">
        <v>142500000</v>
      </c>
      <c r="C24" s="91">
        <v>95</v>
      </c>
    </row>
    <row r="25" spans="1:3" x14ac:dyDescent="0.35">
      <c r="A25" s="53" t="s">
        <v>14</v>
      </c>
      <c r="B25" s="91">
        <v>120000000</v>
      </c>
      <c r="C25" s="91">
        <v>40</v>
      </c>
    </row>
    <row r="26" spans="1:3" x14ac:dyDescent="0.35">
      <c r="A26" s="53" t="s">
        <v>24</v>
      </c>
      <c r="B26" s="91">
        <v>35200000</v>
      </c>
      <c r="C26" s="91">
        <v>176</v>
      </c>
    </row>
    <row r="27" spans="1:3" x14ac:dyDescent="0.35">
      <c r="A27" s="53" t="s">
        <v>45</v>
      </c>
      <c r="B27" s="91">
        <v>297700000</v>
      </c>
      <c r="C27" s="91">
        <v>311</v>
      </c>
    </row>
    <row r="30" spans="1:3" ht="18.5" x14ac:dyDescent="0.45">
      <c r="A30" s="61" t="s">
        <v>54</v>
      </c>
      <c r="B30" s="61"/>
      <c r="C30" s="61"/>
    </row>
    <row r="31" spans="1:3" x14ac:dyDescent="0.35">
      <c r="A31" s="52" t="s">
        <v>44</v>
      </c>
      <c r="B31" s="51" t="s">
        <v>78</v>
      </c>
      <c r="C31" s="51" t="s">
        <v>79</v>
      </c>
    </row>
    <row r="32" spans="1:3" x14ac:dyDescent="0.35">
      <c r="A32" s="53" t="s">
        <v>75</v>
      </c>
      <c r="B32" s="47">
        <v>142000000</v>
      </c>
      <c r="C32" s="91">
        <v>3</v>
      </c>
    </row>
    <row r="33" spans="1:5" x14ac:dyDescent="0.35">
      <c r="A33" s="53" t="s">
        <v>76</v>
      </c>
      <c r="B33" s="47">
        <v>99000000</v>
      </c>
      <c r="C33" s="91">
        <v>3</v>
      </c>
    </row>
    <row r="34" spans="1:5" x14ac:dyDescent="0.35">
      <c r="A34" s="53" t="s">
        <v>77</v>
      </c>
      <c r="B34" s="47">
        <v>56700000</v>
      </c>
      <c r="C34" s="91">
        <v>3</v>
      </c>
    </row>
    <row r="35" spans="1:5" x14ac:dyDescent="0.35">
      <c r="A35" s="53" t="s">
        <v>45</v>
      </c>
      <c r="B35" s="47">
        <v>297700000</v>
      </c>
      <c r="C35" s="91">
        <v>9</v>
      </c>
    </row>
    <row r="38" spans="1:5" ht="21" x14ac:dyDescent="0.35">
      <c r="A38" s="62" t="s">
        <v>84</v>
      </c>
      <c r="B38" s="62"/>
      <c r="C38" s="50"/>
      <c r="D38" s="58"/>
      <c r="E38" s="4"/>
    </row>
    <row r="39" spans="1:5" x14ac:dyDescent="0.35">
      <c r="A39" s="52" t="s">
        <v>9</v>
      </c>
      <c r="B39" s="51" t="s">
        <v>74</v>
      </c>
    </row>
    <row r="40" spans="1:5" x14ac:dyDescent="0.35">
      <c r="A40" s="45" t="s">
        <v>75</v>
      </c>
      <c r="B40" s="48">
        <v>1.2909090909090908</v>
      </c>
    </row>
    <row r="41" spans="1:5" x14ac:dyDescent="0.35">
      <c r="A41" s="45" t="s">
        <v>76</v>
      </c>
      <c r="B41" s="48">
        <v>0.9</v>
      </c>
    </row>
    <row r="42" spans="1:5" x14ac:dyDescent="0.35">
      <c r="A42" s="45" t="s">
        <v>77</v>
      </c>
      <c r="B42" s="48">
        <v>0.51545454545454539</v>
      </c>
    </row>
    <row r="45" spans="1:5" ht="18.5" x14ac:dyDescent="0.45">
      <c r="A45" s="61" t="s">
        <v>81</v>
      </c>
      <c r="B45" s="61"/>
      <c r="C45" s="61"/>
    </row>
    <row r="46" spans="1:5" x14ac:dyDescent="0.35">
      <c r="A46" s="52" t="s">
        <v>9</v>
      </c>
      <c r="B46" s="52" t="s">
        <v>5</v>
      </c>
      <c r="C46" s="51" t="s">
        <v>40</v>
      </c>
    </row>
    <row r="47" spans="1:5" x14ac:dyDescent="0.35">
      <c r="A47" s="45" t="s">
        <v>76</v>
      </c>
      <c r="B47" s="45" t="s">
        <v>24</v>
      </c>
      <c r="C47" s="47">
        <v>24000000</v>
      </c>
    </row>
    <row r="48" spans="1:5" x14ac:dyDescent="0.35">
      <c r="A48" s="45"/>
      <c r="B48" s="45" t="s">
        <v>14</v>
      </c>
      <c r="C48" s="47">
        <v>30000000</v>
      </c>
    </row>
    <row r="49" spans="1:6" x14ac:dyDescent="0.35">
      <c r="A49" s="45"/>
      <c r="B49" s="45" t="s">
        <v>19</v>
      </c>
      <c r="C49" s="47">
        <v>45000000</v>
      </c>
    </row>
    <row r="50" spans="1:6" x14ac:dyDescent="0.35">
      <c r="A50" s="45" t="s">
        <v>75</v>
      </c>
      <c r="B50" s="45" t="s">
        <v>24</v>
      </c>
      <c r="C50" s="47">
        <v>7000000</v>
      </c>
    </row>
    <row r="51" spans="1:6" x14ac:dyDescent="0.35">
      <c r="A51" s="45"/>
      <c r="B51" s="45" t="s">
        <v>14</v>
      </c>
      <c r="C51" s="47">
        <v>60000000</v>
      </c>
    </row>
    <row r="52" spans="1:6" x14ac:dyDescent="0.35">
      <c r="A52" s="45"/>
      <c r="B52" s="45" t="s">
        <v>19</v>
      </c>
      <c r="C52" s="47">
        <v>75000000</v>
      </c>
    </row>
    <row r="53" spans="1:6" x14ac:dyDescent="0.35">
      <c r="A53" s="45" t="s">
        <v>77</v>
      </c>
      <c r="B53" s="45" t="s">
        <v>24</v>
      </c>
      <c r="C53" s="47">
        <v>4200000</v>
      </c>
    </row>
    <row r="54" spans="1:6" x14ac:dyDescent="0.35">
      <c r="A54" s="45"/>
      <c r="B54" s="45" t="s">
        <v>14</v>
      </c>
      <c r="C54" s="47">
        <v>30000000</v>
      </c>
    </row>
    <row r="55" spans="1:6" x14ac:dyDescent="0.35">
      <c r="A55" s="45"/>
      <c r="B55" s="45" t="s">
        <v>19</v>
      </c>
      <c r="C55" s="47">
        <v>22500000</v>
      </c>
    </row>
    <row r="58" spans="1:6" ht="18.5" x14ac:dyDescent="0.45">
      <c r="A58" s="61" t="s">
        <v>88</v>
      </c>
      <c r="B58" s="61"/>
      <c r="C58" s="61"/>
      <c r="D58" s="61"/>
      <c r="E58" s="61"/>
      <c r="F58" s="61"/>
    </row>
    <row r="59" spans="1:6" x14ac:dyDescent="0.35">
      <c r="A59" s="59" t="s">
        <v>5</v>
      </c>
      <c r="B59" s="59" t="s">
        <v>6</v>
      </c>
      <c r="C59" t="s">
        <v>40</v>
      </c>
      <c r="D59" t="s">
        <v>85</v>
      </c>
      <c r="E59" t="s">
        <v>86</v>
      </c>
      <c r="F59" t="s">
        <v>87</v>
      </c>
    </row>
    <row r="60" spans="1:6" x14ac:dyDescent="0.35">
      <c r="A60" t="s">
        <v>24</v>
      </c>
      <c r="B60" t="s">
        <v>25</v>
      </c>
      <c r="C60" s="3">
        <v>35200000</v>
      </c>
      <c r="D60">
        <v>176</v>
      </c>
      <c r="E60" s="3">
        <v>11733333.333333334</v>
      </c>
      <c r="F60" s="60">
        <v>0.11823983876385623</v>
      </c>
    </row>
    <row r="61" spans="1:6" x14ac:dyDescent="0.35">
      <c r="A61" t="s">
        <v>14</v>
      </c>
      <c r="B61" t="s">
        <v>15</v>
      </c>
      <c r="C61" s="3">
        <v>120000000</v>
      </c>
      <c r="D61">
        <v>40</v>
      </c>
      <c r="E61" s="3">
        <v>40000000</v>
      </c>
      <c r="F61" s="60">
        <v>0.40309035942223714</v>
      </c>
    </row>
    <row r="62" spans="1:6" x14ac:dyDescent="0.35">
      <c r="A62" t="s">
        <v>19</v>
      </c>
      <c r="B62" t="s">
        <v>20</v>
      </c>
      <c r="C62" s="3">
        <v>142500000</v>
      </c>
      <c r="D62">
        <v>95</v>
      </c>
      <c r="E62" s="3">
        <v>47500000</v>
      </c>
      <c r="F62" s="60">
        <v>0.47866980181390661</v>
      </c>
    </row>
    <row r="63" spans="1:6" x14ac:dyDescent="0.35">
      <c r="A63" t="s">
        <v>45</v>
      </c>
      <c r="C63" s="3">
        <v>297700000</v>
      </c>
      <c r="D63">
        <v>311</v>
      </c>
      <c r="E63" s="3">
        <v>33077777.777777776</v>
      </c>
      <c r="F63" s="60">
        <v>1</v>
      </c>
    </row>
  </sheetData>
  <mergeCells count="8">
    <mergeCell ref="A58:F58"/>
    <mergeCell ref="A45:C45"/>
    <mergeCell ref="A38:B38"/>
    <mergeCell ref="A1:C1"/>
    <mergeCell ref="A6:B6"/>
    <mergeCell ref="A22:C22"/>
    <mergeCell ref="A14:B14"/>
    <mergeCell ref="A30: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12B8-94A0-4E02-8120-F12977F41A1D}">
  <dimension ref="B1:AR84"/>
  <sheetViews>
    <sheetView showGridLines="0" tabSelected="1" topLeftCell="A2" zoomScale="82" zoomScaleNormal="63" workbookViewId="0">
      <selection activeCell="C2" sqref="C2"/>
    </sheetView>
  </sheetViews>
  <sheetFormatPr baseColWidth="10" defaultRowHeight="14.5" x14ac:dyDescent="0.35"/>
  <cols>
    <col min="1" max="2" width="3.36328125" customWidth="1"/>
    <col min="3" max="11" width="21.1796875" customWidth="1"/>
    <col min="12" max="13" width="3.36328125" customWidth="1"/>
    <col min="14" max="37" width="21.1796875" customWidth="1"/>
    <col min="38" max="46" width="3.36328125" customWidth="1"/>
    <col min="47" max="47" width="11.7265625" bestFit="1" customWidth="1"/>
    <col min="48" max="48" width="12.36328125" bestFit="1" customWidth="1"/>
    <col min="49" max="49" width="15.26953125" bestFit="1" customWidth="1"/>
    <col min="50" max="50" width="13.6328125" customWidth="1"/>
    <col min="51" max="51" width="20.1796875" bestFit="1" customWidth="1"/>
  </cols>
  <sheetData>
    <row r="1" spans="2:44" ht="15" thickBot="1" x14ac:dyDescent="0.4"/>
    <row r="2" spans="2:44" ht="15" thickBot="1" x14ac:dyDescent="0.4">
      <c r="B2" s="15"/>
      <c r="C2" s="8"/>
      <c r="D2" s="8"/>
      <c r="E2" s="8"/>
      <c r="F2" s="8"/>
      <c r="G2" s="8"/>
      <c r="H2" s="8"/>
      <c r="I2" s="8"/>
      <c r="J2" s="8"/>
      <c r="K2" s="8"/>
      <c r="L2" s="9"/>
    </row>
    <row r="3" spans="2:44" ht="31" thickBot="1" x14ac:dyDescent="0.9">
      <c r="B3" s="10"/>
      <c r="C3" s="64" t="s">
        <v>83</v>
      </c>
      <c r="D3" s="65"/>
      <c r="E3" s="65"/>
      <c r="F3" s="65"/>
      <c r="G3" s="65"/>
      <c r="H3" s="65"/>
      <c r="I3" s="65"/>
      <c r="J3" s="65"/>
      <c r="K3" s="66"/>
      <c r="L3" s="38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6"/>
      <c r="AL3" s="6"/>
      <c r="AM3" s="6"/>
      <c r="AN3" s="6"/>
      <c r="AO3" s="6"/>
      <c r="AP3" s="6"/>
      <c r="AQ3" s="6"/>
      <c r="AR3" s="6"/>
    </row>
    <row r="4" spans="2:44" x14ac:dyDescent="0.35">
      <c r="B4" s="10"/>
      <c r="L4" s="11"/>
    </row>
    <row r="5" spans="2:44" ht="15" thickBot="1" x14ac:dyDescent="0.4">
      <c r="B5" s="10"/>
      <c r="L5" s="11"/>
    </row>
    <row r="6" spans="2:44" ht="14.5" customHeight="1" x14ac:dyDescent="0.35">
      <c r="B6" s="10"/>
      <c r="C6" s="20" t="s">
        <v>48</v>
      </c>
      <c r="D6" s="16"/>
      <c r="E6" s="31" t="s">
        <v>47</v>
      </c>
      <c r="G6" s="32" t="s">
        <v>49</v>
      </c>
      <c r="H6" s="16"/>
      <c r="I6" s="32" t="s">
        <v>55</v>
      </c>
      <c r="J6" s="21"/>
      <c r="K6" s="33" t="s">
        <v>56</v>
      </c>
      <c r="L6" s="17"/>
      <c r="M6" s="16"/>
      <c r="N6" s="16"/>
      <c r="O6" s="16"/>
      <c r="P6" s="16"/>
    </row>
    <row r="7" spans="2:44" ht="15" customHeight="1" x14ac:dyDescent="0.35">
      <c r="B7" s="10"/>
      <c r="C7" s="79">
        <f>GETPIVOTDATA("Venta Bruta",KPI_S!$A$2)</f>
        <v>297700000</v>
      </c>
      <c r="D7" s="16"/>
      <c r="E7" s="77">
        <f>GETPIVOTDATA("Costo de Compra",KPI_S!$A$2)</f>
        <v>208870000</v>
      </c>
      <c r="G7" s="81">
        <f>GETPIVOTDATA("Ganancia Bruta",KPI_S!$A$2)</f>
        <v>88830000</v>
      </c>
      <c r="H7" s="18"/>
      <c r="I7" s="83">
        <f>GETPIVOTDATA("Suma de Margen Bruto",KPI_S!$A$2)</f>
        <v>0.29838763856231104</v>
      </c>
      <c r="J7" s="22"/>
      <c r="K7" s="67">
        <f>GETPIVOTDATA("Comision Vendedores",KPI_S!$A$2)</f>
        <v>18715000</v>
      </c>
      <c r="L7" s="19"/>
      <c r="M7" s="18"/>
      <c r="N7" s="18"/>
      <c r="O7" s="18"/>
      <c r="P7" s="18"/>
    </row>
    <row r="8" spans="2:44" ht="15" customHeight="1" thickBot="1" x14ac:dyDescent="0.4">
      <c r="B8" s="10"/>
      <c r="C8" s="80"/>
      <c r="D8" s="16"/>
      <c r="E8" s="78"/>
      <c r="G8" s="82"/>
      <c r="H8" s="18"/>
      <c r="I8" s="84"/>
      <c r="J8" s="22"/>
      <c r="K8" s="68"/>
      <c r="L8" s="19"/>
      <c r="M8" s="18"/>
      <c r="N8" s="18"/>
      <c r="O8" s="18"/>
      <c r="P8" s="18"/>
    </row>
    <row r="9" spans="2:44" x14ac:dyDescent="0.35">
      <c r="B9" s="10"/>
      <c r="L9" s="11"/>
    </row>
    <row r="10" spans="2:44" ht="15" thickBot="1" x14ac:dyDescent="0.4">
      <c r="B10" s="10"/>
      <c r="L10" s="11"/>
    </row>
    <row r="11" spans="2:44" x14ac:dyDescent="0.35">
      <c r="B11" s="10"/>
      <c r="C11" s="33" t="s">
        <v>70</v>
      </c>
      <c r="D11" s="16"/>
      <c r="E11" s="35" t="s">
        <v>57</v>
      </c>
      <c r="F11" s="21"/>
      <c r="G11" s="35" t="s">
        <v>69</v>
      </c>
      <c r="H11" s="21"/>
      <c r="I11" s="34" t="s">
        <v>58</v>
      </c>
      <c r="J11" s="21"/>
      <c r="K11" s="34" t="s">
        <v>59</v>
      </c>
      <c r="L11" s="39"/>
      <c r="M11" s="21"/>
      <c r="N11" s="21"/>
      <c r="O11" s="21"/>
      <c r="P11" s="21"/>
    </row>
    <row r="12" spans="2:44" ht="18.5" customHeight="1" x14ac:dyDescent="0.35">
      <c r="B12" s="10"/>
      <c r="C12" s="67">
        <f>+KPI_S!F3</f>
        <v>28715000</v>
      </c>
      <c r="D12" s="18"/>
      <c r="E12" s="75">
        <f>+KPI_S!G3</f>
        <v>60115000</v>
      </c>
      <c r="F12" s="18"/>
      <c r="G12" s="73">
        <f>+KPI_S!H3</f>
        <v>0.20193147463889821</v>
      </c>
      <c r="H12" s="22"/>
      <c r="I12" s="71">
        <f>+KPI_S!I3</f>
        <v>42080500</v>
      </c>
      <c r="J12" s="18"/>
      <c r="K12" s="69">
        <f>+KPI_S!J3</f>
        <v>0.14135203224722875</v>
      </c>
      <c r="L12" s="40"/>
      <c r="M12" s="22"/>
      <c r="N12" s="22"/>
      <c r="O12" s="22"/>
      <c r="P12" s="22"/>
    </row>
    <row r="13" spans="2:44" ht="15" customHeight="1" thickBot="1" x14ac:dyDescent="0.4">
      <c r="B13" s="10"/>
      <c r="C13" s="68"/>
      <c r="D13" s="18"/>
      <c r="E13" s="76"/>
      <c r="F13" s="18"/>
      <c r="G13" s="74"/>
      <c r="H13" s="22"/>
      <c r="I13" s="72"/>
      <c r="J13" s="18"/>
      <c r="K13" s="70"/>
      <c r="L13" s="40"/>
      <c r="M13" s="22"/>
      <c r="N13" s="22"/>
      <c r="O13" s="22"/>
      <c r="P13" s="22"/>
    </row>
    <row r="14" spans="2:44" x14ac:dyDescent="0.35">
      <c r="B14" s="10"/>
      <c r="L14" s="11"/>
    </row>
    <row r="15" spans="2:44" x14ac:dyDescent="0.35">
      <c r="B15" s="10"/>
      <c r="L15" s="11"/>
    </row>
    <row r="16" spans="2:44" ht="14.5" customHeight="1" x14ac:dyDescent="0.35">
      <c r="B16" s="10"/>
      <c r="E16" s="25" t="s">
        <v>71</v>
      </c>
      <c r="F16" s="26" t="s">
        <v>72</v>
      </c>
      <c r="G16" s="26" t="s">
        <v>47</v>
      </c>
      <c r="H16" s="26" t="s">
        <v>49</v>
      </c>
      <c r="I16" s="27" t="s">
        <v>41</v>
      </c>
      <c r="L16" s="11"/>
    </row>
    <row r="17" spans="2:31" ht="15" customHeight="1" x14ac:dyDescent="0.35">
      <c r="B17" s="10"/>
      <c r="E17" s="7" t="s">
        <v>16</v>
      </c>
      <c r="F17" s="28">
        <v>142000000</v>
      </c>
      <c r="G17" s="28">
        <v>100700000</v>
      </c>
      <c r="H17" s="28">
        <v>41300000</v>
      </c>
      <c r="I17" s="29">
        <v>0.29084507042253521</v>
      </c>
      <c r="L17" s="11"/>
    </row>
    <row r="18" spans="2:31" x14ac:dyDescent="0.35">
      <c r="B18" s="10"/>
      <c r="E18" s="7" t="s">
        <v>26</v>
      </c>
      <c r="F18" s="28">
        <v>56700000</v>
      </c>
      <c r="G18" s="28">
        <v>40270000</v>
      </c>
      <c r="H18" s="28">
        <v>16430000</v>
      </c>
      <c r="I18" s="29">
        <v>0.28977072310405644</v>
      </c>
      <c r="L18" s="11"/>
    </row>
    <row r="19" spans="2:31" x14ac:dyDescent="0.35">
      <c r="B19" s="10"/>
      <c r="E19" s="7" t="s">
        <v>21</v>
      </c>
      <c r="F19" s="28">
        <v>99000000</v>
      </c>
      <c r="G19" s="28">
        <v>67900000</v>
      </c>
      <c r="H19" s="28">
        <v>31100000</v>
      </c>
      <c r="I19" s="29">
        <v>0.31414141414141417</v>
      </c>
      <c r="L19" s="11"/>
    </row>
    <row r="20" spans="2:31" x14ac:dyDescent="0.35">
      <c r="B20" s="10"/>
      <c r="E20" s="30" t="s">
        <v>45</v>
      </c>
      <c r="F20" s="55">
        <v>297700000</v>
      </c>
      <c r="G20" s="55">
        <v>208870000</v>
      </c>
      <c r="H20" s="55">
        <v>88830000</v>
      </c>
      <c r="I20" s="56">
        <v>0.29838763856231104</v>
      </c>
      <c r="L20" s="41"/>
      <c r="M20" s="36"/>
      <c r="N20" s="36"/>
      <c r="O20" s="36"/>
      <c r="P20" s="36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87"/>
      <c r="AB20" s="87"/>
      <c r="AC20" s="87"/>
      <c r="AD20" s="87"/>
      <c r="AE20" s="87"/>
    </row>
    <row r="21" spans="2:31" x14ac:dyDescent="0.35">
      <c r="B21" s="10"/>
      <c r="L21" s="42"/>
      <c r="M21" s="3"/>
      <c r="N21" s="3"/>
      <c r="O21" s="3"/>
      <c r="P21" s="3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8"/>
      <c r="AB21" s="88"/>
      <c r="AC21" s="88"/>
      <c r="AD21" s="88"/>
      <c r="AE21" s="88"/>
    </row>
    <row r="22" spans="2:31" x14ac:dyDescent="0.35">
      <c r="B22" s="10"/>
      <c r="L22" s="42"/>
      <c r="M22" s="3"/>
      <c r="N22" s="3"/>
      <c r="O22" s="3"/>
      <c r="P22" s="3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8"/>
      <c r="AB22" s="88"/>
      <c r="AC22" s="88"/>
      <c r="AD22" s="88"/>
      <c r="AE22" s="88"/>
    </row>
    <row r="23" spans="2:31" x14ac:dyDescent="0.35">
      <c r="B23" s="10"/>
      <c r="L23" s="42"/>
      <c r="M23" s="3"/>
      <c r="N23" s="3"/>
      <c r="O23" s="3"/>
      <c r="P23" s="3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8"/>
      <c r="AB23" s="88"/>
      <c r="AC23" s="88"/>
      <c r="AD23" s="88"/>
      <c r="AE23" s="88"/>
    </row>
    <row r="24" spans="2:31" x14ac:dyDescent="0.35">
      <c r="B24" s="10"/>
      <c r="L24" s="43"/>
      <c r="M24" s="37"/>
      <c r="N24" s="37"/>
      <c r="O24" s="37"/>
      <c r="P24" s="37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9"/>
      <c r="AB24" s="89"/>
      <c r="AC24" s="89"/>
      <c r="AD24" s="89"/>
      <c r="AE24" s="89"/>
    </row>
    <row r="25" spans="2:31" x14ac:dyDescent="0.35">
      <c r="B25" s="10"/>
      <c r="L25" s="11"/>
    </row>
    <row r="26" spans="2:31" x14ac:dyDescent="0.35">
      <c r="B26" s="10"/>
      <c r="L26" s="11"/>
    </row>
    <row r="27" spans="2:31" x14ac:dyDescent="0.35">
      <c r="B27" s="10"/>
      <c r="L27" s="11"/>
    </row>
    <row r="28" spans="2:31" x14ac:dyDescent="0.35">
      <c r="B28" s="10"/>
      <c r="L28" s="11"/>
    </row>
    <row r="29" spans="2:31" x14ac:dyDescent="0.35">
      <c r="B29" s="10"/>
      <c r="L29" s="11"/>
    </row>
    <row r="30" spans="2:31" x14ac:dyDescent="0.35">
      <c r="B30" s="10"/>
      <c r="L30" s="11"/>
    </row>
    <row r="31" spans="2:31" x14ac:dyDescent="0.35">
      <c r="B31" s="10"/>
      <c r="L31" s="11"/>
    </row>
    <row r="32" spans="2:31" x14ac:dyDescent="0.35">
      <c r="B32" s="10"/>
      <c r="L32" s="11"/>
    </row>
    <row r="33" spans="2:12" x14ac:dyDescent="0.35">
      <c r="B33" s="10"/>
      <c r="L33" s="11"/>
    </row>
    <row r="34" spans="2:12" x14ac:dyDescent="0.35">
      <c r="B34" s="10"/>
      <c r="L34" s="11"/>
    </row>
    <row r="35" spans="2:12" x14ac:dyDescent="0.35">
      <c r="B35" s="10"/>
      <c r="L35" s="11"/>
    </row>
    <row r="36" spans="2:12" x14ac:dyDescent="0.35">
      <c r="B36" s="10"/>
      <c r="L36" s="11"/>
    </row>
    <row r="37" spans="2:12" x14ac:dyDescent="0.35">
      <c r="B37" s="10"/>
      <c r="L37" s="11"/>
    </row>
    <row r="38" spans="2:12" x14ac:dyDescent="0.35">
      <c r="B38" s="10"/>
      <c r="L38" s="11"/>
    </row>
    <row r="39" spans="2:12" x14ac:dyDescent="0.35">
      <c r="B39" s="10"/>
      <c r="L39" s="11"/>
    </row>
    <row r="40" spans="2:12" x14ac:dyDescent="0.35">
      <c r="B40" s="10"/>
      <c r="L40" s="11"/>
    </row>
    <row r="41" spans="2:12" x14ac:dyDescent="0.35">
      <c r="B41" s="10"/>
      <c r="L41" s="11"/>
    </row>
    <row r="42" spans="2:12" x14ac:dyDescent="0.35">
      <c r="B42" s="10"/>
      <c r="L42" s="11"/>
    </row>
    <row r="43" spans="2:12" x14ac:dyDescent="0.35">
      <c r="B43" s="10"/>
      <c r="L43" s="11"/>
    </row>
    <row r="44" spans="2:12" x14ac:dyDescent="0.35">
      <c r="B44" s="10"/>
      <c r="L44" s="11"/>
    </row>
    <row r="45" spans="2:12" x14ac:dyDescent="0.35">
      <c r="B45" s="10"/>
      <c r="L45" s="11"/>
    </row>
    <row r="46" spans="2:12" x14ac:dyDescent="0.35">
      <c r="B46" s="10"/>
      <c r="L46" s="11"/>
    </row>
    <row r="47" spans="2:12" x14ac:dyDescent="0.35">
      <c r="B47" s="10"/>
      <c r="L47" s="11"/>
    </row>
    <row r="48" spans="2:12" x14ac:dyDescent="0.35">
      <c r="B48" s="10"/>
      <c r="L48" s="11"/>
    </row>
    <row r="49" spans="2:12" x14ac:dyDescent="0.35">
      <c r="B49" s="10"/>
      <c r="L49" s="11"/>
    </row>
    <row r="50" spans="2:12" x14ac:dyDescent="0.35">
      <c r="B50" s="10"/>
      <c r="L50" s="11"/>
    </row>
    <row r="51" spans="2:12" x14ac:dyDescent="0.35">
      <c r="B51" s="10"/>
      <c r="L51" s="11"/>
    </row>
    <row r="52" spans="2:12" x14ac:dyDescent="0.35">
      <c r="B52" s="10"/>
      <c r="L52" s="11"/>
    </row>
    <row r="53" spans="2:12" x14ac:dyDescent="0.35">
      <c r="B53" s="10"/>
      <c r="L53" s="11"/>
    </row>
    <row r="54" spans="2:12" x14ac:dyDescent="0.35">
      <c r="B54" s="10"/>
      <c r="L54" s="11"/>
    </row>
    <row r="55" spans="2:12" x14ac:dyDescent="0.35">
      <c r="B55" s="10"/>
      <c r="L55" s="11"/>
    </row>
    <row r="56" spans="2:12" x14ac:dyDescent="0.35">
      <c r="B56" s="10"/>
      <c r="L56" s="11"/>
    </row>
    <row r="57" spans="2:12" x14ac:dyDescent="0.35">
      <c r="B57" s="10"/>
      <c r="L57" s="11"/>
    </row>
    <row r="58" spans="2:12" x14ac:dyDescent="0.35">
      <c r="B58" s="10"/>
      <c r="L58" s="11"/>
    </row>
    <row r="59" spans="2:12" x14ac:dyDescent="0.35">
      <c r="B59" s="10"/>
      <c r="L59" s="11"/>
    </row>
    <row r="60" spans="2:12" x14ac:dyDescent="0.35">
      <c r="B60" s="10"/>
      <c r="L60" s="11"/>
    </row>
    <row r="61" spans="2:12" x14ac:dyDescent="0.35">
      <c r="B61" s="10"/>
      <c r="L61" s="11"/>
    </row>
    <row r="62" spans="2:12" x14ac:dyDescent="0.35">
      <c r="B62" s="10"/>
      <c r="L62" s="11"/>
    </row>
    <row r="63" spans="2:12" x14ac:dyDescent="0.35">
      <c r="B63" s="10"/>
      <c r="L63" s="11"/>
    </row>
    <row r="64" spans="2:12" x14ac:dyDescent="0.35">
      <c r="B64" s="10"/>
      <c r="L64" s="11"/>
    </row>
    <row r="65" spans="2:12" x14ac:dyDescent="0.35">
      <c r="B65" s="10"/>
      <c r="L65" s="11"/>
    </row>
    <row r="66" spans="2:12" x14ac:dyDescent="0.35">
      <c r="B66" s="10"/>
      <c r="L66" s="11"/>
    </row>
    <row r="67" spans="2:12" x14ac:dyDescent="0.35">
      <c r="B67" s="10"/>
      <c r="L67" s="11"/>
    </row>
    <row r="68" spans="2:12" x14ac:dyDescent="0.35">
      <c r="B68" s="10"/>
      <c r="L68" s="11"/>
    </row>
    <row r="69" spans="2:12" x14ac:dyDescent="0.35">
      <c r="B69" s="10"/>
      <c r="L69" s="11"/>
    </row>
    <row r="70" spans="2:12" x14ac:dyDescent="0.35">
      <c r="B70" s="10"/>
      <c r="L70" s="11"/>
    </row>
    <row r="71" spans="2:12" x14ac:dyDescent="0.35">
      <c r="B71" s="10"/>
      <c r="L71" s="11"/>
    </row>
    <row r="72" spans="2:12" x14ac:dyDescent="0.35">
      <c r="B72" s="10"/>
      <c r="L72" s="11"/>
    </row>
    <row r="73" spans="2:12" x14ac:dyDescent="0.35">
      <c r="B73" s="10"/>
      <c r="L73" s="11"/>
    </row>
    <row r="74" spans="2:12" x14ac:dyDescent="0.35">
      <c r="B74" s="10"/>
      <c r="L74" s="11"/>
    </row>
    <row r="75" spans="2:12" x14ac:dyDescent="0.35">
      <c r="B75" s="10"/>
      <c r="L75" s="11"/>
    </row>
    <row r="76" spans="2:12" x14ac:dyDescent="0.35">
      <c r="B76" s="10"/>
      <c r="L76" s="11"/>
    </row>
    <row r="77" spans="2:12" x14ac:dyDescent="0.35">
      <c r="B77" s="10"/>
      <c r="L77" s="11"/>
    </row>
    <row r="78" spans="2:12" x14ac:dyDescent="0.35">
      <c r="B78" s="10"/>
      <c r="L78" s="11"/>
    </row>
    <row r="79" spans="2:12" x14ac:dyDescent="0.35">
      <c r="B79" s="10"/>
      <c r="L79" s="11"/>
    </row>
    <row r="80" spans="2:12" x14ac:dyDescent="0.35">
      <c r="B80" s="10"/>
      <c r="L80" s="11"/>
    </row>
    <row r="81" spans="2:12" x14ac:dyDescent="0.35">
      <c r="B81" s="10"/>
      <c r="L81" s="11"/>
    </row>
    <row r="82" spans="2:12" x14ac:dyDescent="0.35">
      <c r="B82" s="10"/>
      <c r="L82" s="11"/>
    </row>
    <row r="83" spans="2:12" x14ac:dyDescent="0.35">
      <c r="B83" s="10"/>
      <c r="L83" s="11"/>
    </row>
    <row r="84" spans="2:12" ht="15" thickBot="1" x14ac:dyDescent="0.4"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4"/>
    </row>
  </sheetData>
  <mergeCells count="26">
    <mergeCell ref="Q23:U23"/>
    <mergeCell ref="Q24:U24"/>
    <mergeCell ref="AA20:AE20"/>
    <mergeCell ref="AA21:AE21"/>
    <mergeCell ref="AA22:AE22"/>
    <mergeCell ref="AA23:AE23"/>
    <mergeCell ref="AA24:AE24"/>
    <mergeCell ref="V23:Z23"/>
    <mergeCell ref="V24:Z24"/>
    <mergeCell ref="V22:Z22"/>
    <mergeCell ref="V20:Z20"/>
    <mergeCell ref="V21:Z21"/>
    <mergeCell ref="Q20:U20"/>
    <mergeCell ref="Q21:U21"/>
    <mergeCell ref="Q22:U22"/>
    <mergeCell ref="C3:K3"/>
    <mergeCell ref="K7:K8"/>
    <mergeCell ref="K12:K13"/>
    <mergeCell ref="I12:I13"/>
    <mergeCell ref="G12:G13"/>
    <mergeCell ref="E12:E13"/>
    <mergeCell ref="E7:E8"/>
    <mergeCell ref="C12:C13"/>
    <mergeCell ref="C7:C8"/>
    <mergeCell ref="G7:G8"/>
    <mergeCell ref="I7:I8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3ED0FC-9435-4B15-A4A9-3EB454F0C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costo_financiero</vt:lpstr>
      <vt:lpstr>costos_fijos</vt:lpstr>
      <vt:lpstr>Ventas_Consolidadas</vt:lpstr>
      <vt:lpstr>KPI_S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Luis Fernando Alcalá Ramirez</cp:lastModifiedBy>
  <dcterms:created xsi:type="dcterms:W3CDTF">2015-06-05T18:19:34Z</dcterms:created>
  <dcterms:modified xsi:type="dcterms:W3CDTF">2026-01-18T22:14:36Z</dcterms:modified>
</cp:coreProperties>
</file>